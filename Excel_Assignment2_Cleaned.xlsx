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et" sheetId="1" state="visible" r:id="rId3"/>
    <sheet name="Workout sheet" sheetId="2" state="visible" r:id="rId4"/>
    <sheet name="Formulas Used" sheetId="3" state="visible" r:id="rId5"/>
    <sheet name="full clean dat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<sst xmlns="http://schemas.openxmlformats.org/spreadsheetml/2006/main" count="568" uniqueCount="266">
  <si>
    <t xml:space="preserve">Product ID</t>
  </si>
  <si>
    <t xml:space="preserve">Product Name</t>
  </si>
  <si>
    <t xml:space="preserve">Brand Name</t>
  </si>
  <si>
    <t xml:space="preserve">Price ($)</t>
  </si>
  <si>
    <t xml:space="preserve">Quantity</t>
  </si>
  <si>
    <t xml:space="preserve">Category</t>
  </si>
  <si>
    <t xml:space="preserve">28-JAN-US</t>
  </si>
  <si>
    <t xml:space="preserve">laptop</t>
  </si>
  <si>
    <t xml:space="preserve">Dell</t>
  </si>
  <si>
    <t xml:space="preserve">Electronics</t>
  </si>
  <si>
    <t xml:space="preserve">15-FEB-US</t>
  </si>
  <si>
    <t xml:space="preserve">Sneakers</t>
  </si>
  <si>
    <t xml:space="preserve">Nike</t>
  </si>
  <si>
    <t xml:space="preserve">Fashion</t>
  </si>
  <si>
    <t xml:space="preserve">03-MAR-US</t>
  </si>
  <si>
    <t xml:space="preserve">Coffee Maker</t>
  </si>
  <si>
    <t xml:space="preserve">Keurig</t>
  </si>
  <si>
    <t xml:space="preserve">Kitchen</t>
  </si>
  <si>
    <t xml:space="preserve">11-APR-US</t>
  </si>
  <si>
    <t xml:space="preserve">smartphone</t>
  </si>
  <si>
    <t xml:space="preserve">Samsung</t>
  </si>
  <si>
    <t xml:space="preserve">22-MAY-US</t>
  </si>
  <si>
    <t xml:space="preserve">Backpack</t>
  </si>
  <si>
    <t xml:space="preserve">North Face</t>
  </si>
  <si>
    <t xml:space="preserve">07-JUN-UK</t>
  </si>
  <si>
    <t xml:space="preserve">Headphones</t>
  </si>
  <si>
    <t xml:space="preserve">Sony</t>
  </si>
  <si>
    <t xml:space="preserve">Electroni</t>
  </si>
  <si>
    <t xml:space="preserve">19-JUL-UK</t>
  </si>
  <si>
    <t xml:space="preserve">T-shirt</t>
  </si>
  <si>
    <t xml:space="preserve">Adidas</t>
  </si>
  <si>
    <t xml:space="preserve">23-AUG-UK</t>
  </si>
  <si>
    <t xml:space="preserve">Blender</t>
  </si>
  <si>
    <t xml:space="preserve">Ninja</t>
  </si>
  <si>
    <t xml:space="preserve">05-SEP-UK</t>
  </si>
  <si>
    <t xml:space="preserve">Tablet</t>
  </si>
  <si>
    <t xml:space="preserve">Apple</t>
  </si>
  <si>
    <t xml:space="preserve">14-OCT-UK</t>
  </si>
  <si>
    <t xml:space="preserve">Hiking Boots</t>
  </si>
  <si>
    <t xml:space="preserve">Timberland</t>
  </si>
  <si>
    <t xml:space="preserve">Outdoor</t>
  </si>
  <si>
    <t xml:space="preserve">17-JUN-IN</t>
  </si>
  <si>
    <t xml:space="preserve">Laptop</t>
  </si>
  <si>
    <t xml:space="preserve">HP</t>
  </si>
  <si>
    <t xml:space="preserve">25-NOV-AU</t>
  </si>
  <si>
    <t xml:space="preserve">08-DEC-DE</t>
  </si>
  <si>
    <t xml:space="preserve">Nespresso</t>
  </si>
  <si>
    <t xml:space="preserve">18-FEB-CA</t>
  </si>
  <si>
    <t xml:space="preserve">Smartwatch</t>
  </si>
  <si>
    <t xml:space="preserve">Fitbit</t>
  </si>
  <si>
    <t xml:space="preserve">16-APR-ES</t>
  </si>
  <si>
    <t xml:space="preserve">headphones</t>
  </si>
  <si>
    <t xml:space="preserve">Bose</t>
  </si>
  <si>
    <t xml:space="preserve">21-AUG-CA</t>
  </si>
  <si>
    <t xml:space="preserve">Laptop Bag</t>
  </si>
  <si>
    <t xml:space="preserve">Samsonite</t>
  </si>
  <si>
    <t xml:space="preserve">Accessories</t>
  </si>
  <si>
    <t xml:space="preserve">20-AUG-CN</t>
  </si>
  <si>
    <t xml:space="preserve">Huawei</t>
  </si>
  <si>
    <t xml:space="preserve">27-JAN-IT</t>
  </si>
  <si>
    <t xml:space="preserve">Asus</t>
  </si>
  <si>
    <t xml:space="preserve">01-MAR-UK</t>
  </si>
  <si>
    <t xml:space="preserve">Sunglasses</t>
  </si>
  <si>
    <t xml:space="preserve">Oakley</t>
  </si>
  <si>
    <t xml:space="preserve">14-AUG-US</t>
  </si>
  <si>
    <t xml:space="preserve">Camping Tent</t>
  </si>
  <si>
    <t xml:space="preserve">Coleman</t>
  </si>
  <si>
    <t xml:space="preserve">14-MAY-RU</t>
  </si>
  <si>
    <t xml:space="preserve">Camera</t>
  </si>
  <si>
    <t xml:space="preserve">Nikon</t>
  </si>
  <si>
    <t xml:space="preserve">09-JAN-CA</t>
  </si>
  <si>
    <t xml:space="preserve">Microwave</t>
  </si>
  <si>
    <t xml:space="preserve">Panasonic</t>
  </si>
  <si>
    <t xml:space="preserve">19-JUL-BR</t>
  </si>
  <si>
    <t xml:space="preserve">Fitness Tracker</t>
  </si>
  <si>
    <t xml:space="preserve">Xiaomi</t>
  </si>
  <si>
    <t xml:space="preserve">29-SEP-CA</t>
  </si>
  <si>
    <t xml:space="preserve">Smartphone</t>
  </si>
  <si>
    <t xml:space="preserve">Google</t>
  </si>
  <si>
    <t xml:space="preserve">03-JUN-CA</t>
  </si>
  <si>
    <t xml:space="preserve">Ray-Ban</t>
  </si>
  <si>
    <t xml:space="preserve">11-JUL-CA</t>
  </si>
  <si>
    <t xml:space="preserve">Vitamix</t>
  </si>
  <si>
    <t xml:space="preserve">07-MAR-CA</t>
  </si>
  <si>
    <t xml:space="preserve">Dress</t>
  </si>
  <si>
    <t xml:space="preserve">Zara</t>
  </si>
  <si>
    <t xml:space="preserve">13-APR-CA</t>
  </si>
  <si>
    <t xml:space="preserve">Toaster</t>
  </si>
  <si>
    <t xml:space="preserve">Hamilton</t>
  </si>
  <si>
    <t xml:space="preserve">24-MAY-CA</t>
  </si>
  <si>
    <t xml:space="preserve">Garmin</t>
  </si>
  <si>
    <t xml:space="preserve">02-DEC-CA</t>
  </si>
  <si>
    <t xml:space="preserve">Jeans</t>
  </si>
  <si>
    <t xml:space="preserve">Levi's</t>
  </si>
  <si>
    <t xml:space="preserve">09-JUL-FR</t>
  </si>
  <si>
    <t xml:space="preserve">Watch</t>
  </si>
  <si>
    <t xml:space="preserve">Casio</t>
  </si>
  <si>
    <t xml:space="preserve">Proper Name</t>
  </si>
  <si>
    <t xml:space="preserve">Proper Brand</t>
  </si>
  <si>
    <t xml:space="preserve">Proper Category</t>
  </si>
  <si>
    <t xml:space="preserve">Missing Price</t>
  </si>
  <si>
    <t xml:space="preserve">Product ID2</t>
  </si>
  <si>
    <t xml:space="preserve">Country Code</t>
  </si>
  <si>
    <t xml:space="preserve">Date</t>
  </si>
  <si>
    <t xml:space="preserve">Brand Product</t>
  </si>
  <si>
    <t xml:space="preserve">Conditional Formatting</t>
  </si>
  <si>
    <t xml:space="preserve">DATE2</t>
  </si>
  <si>
    <t xml:space="preserve">Total Electronics value   =SUMIF(P2:P35,"Electronics",K2:K35)</t>
  </si>
  <si>
    <t xml:space="preserve">Total fashion value  =SUMIF(P2:P35,"Fashion",K2:K35)</t>
  </si>
  <si>
    <t xml:space="preserve">Excel Formulas Used  —  Assignment 2: Data Cleaning &amp; Preparation</t>
  </si>
  <si>
    <t xml:space="preserve">Formula / Feature</t>
  </si>
  <si>
    <t xml:space="preserve">How It Works</t>
  </si>
  <si>
    <t xml:space="preserve">Column in Workbook</t>
  </si>
  <si>
    <t xml:space="preserve">Assignment Task</t>
  </si>
  <si>
    <t xml:space="preserve">Formula Written in Cell</t>
  </si>
  <si>
    <t xml:space="preserve">Output Result</t>
  </si>
  <si>
    <t xml:space="preserve">PROPER()</t>
  </si>
  <si>
    <t xml:space="preserve">Converts text to Title Case — makes the first letter of every word uppercase and the rest lowercase.</t>
  </si>
  <si>
    <t xml:space="preserve">H (Proper Name)
I (Proper Brand)</t>
  </si>
  <si>
    <t xml:space="preserve">Task 2a — Fix inconsistent lowercase product names (laptop → Laptop)</t>
  </si>
  <si>
    <t xml:space="preserve">'=PROPER(B2)   where B2 = "laptop"
=PROPER(C2)   where C2 = "Dell"</t>
  </si>
  <si>
    <t xml:space="preserve">Laptop
Dell</t>
  </si>
  <si>
    <t xml:space="preserve">IF()</t>
  </si>
  <si>
    <t xml:space="preserve">Checks a condition. If TRUE returns one value, if FALSE returns another.
Syntax: =IF(condition, value_if_true, value_if_false)</t>
  </si>
  <si>
    <t xml:space="preserve">J (Proper Category)</t>
  </si>
  <si>
    <t xml:space="preserve">Task 2b — Fix 'Electroni' typo and fill blank categories</t>
  </si>
  <si>
    <t xml:space="preserve">'=IF(F2="Electroni","Electronics",
    IF(F2="","Unknown",F2))</t>
  </si>
  <si>
    <t xml:space="preserve">Electronics
(was: Electroni)</t>
  </si>
  <si>
    <t xml:space="preserve">Same IF function used again to detect blank (missing) price values and label them as 'missing'.</t>
  </si>
  <si>
    <t xml:space="preserve">K (Missing Price)</t>
  </si>
  <si>
    <t xml:space="preserve">Task 1a — Identify missing price values in Price column</t>
  </si>
  <si>
    <t xml:space="preserve">'=IF(D2="","missing",D2)
where D2 = 1000</t>
  </si>
  <si>
    <t xml:space="preserve">1000
(or 'missing' if blank)</t>
  </si>
  <si>
    <t xml:space="preserve">RIGHT()</t>
  </si>
  <si>
    <t xml:space="preserve">Extracts a number of characters from the RIGHT end of a text string.
Syntax: =RIGHT(text, num_chars)</t>
  </si>
  <si>
    <t xml:space="preserve">M (Country Code)</t>
  </si>
  <si>
    <t xml:space="preserve">Task 4a — Split Product ID to extract Country Code (last 2 chars)</t>
  </si>
  <si>
    <t xml:space="preserve">'=RIGHT(A2,2)
where A2 = "28-JAN-US"</t>
  </si>
  <si>
    <t xml:space="preserve">US</t>
  </si>
  <si>
    <t xml:space="preserve">LEFT()</t>
  </si>
  <si>
    <t xml:space="preserve">Extracts a number of characters from the LEFT end of a text string.
Syntax: =LEFT(text, num_chars)</t>
  </si>
  <si>
    <t xml:space="preserve">N (Date)
Q (DATE2 — day part)</t>
  </si>
  <si>
    <t xml:space="preserve">Task 4a — Extract date portion from Product ID (first 6 chars)</t>
  </si>
  <si>
    <t xml:space="preserve">'=LEFT(A2,6)
where A2 = "28-JAN-US"</t>
  </si>
  <si>
    <t xml:space="preserve">28-JAN</t>
  </si>
  <si>
    <t xml:space="preserve">MID()</t>
  </si>
  <si>
    <t xml:space="preserve">Extracts characters from the MIDDLE of a text string.
Syntax: =MID(text, start_position, num_chars)</t>
  </si>
  <si>
    <t xml:space="preserve">Q (DATE2 — month part)</t>
  </si>
  <si>
    <t xml:space="preserve">Task 5b — Pull the 3-letter month abbreviation from Product ID</t>
  </si>
  <si>
    <t xml:space="preserve">'=MID(A2,4,3)
where A2 = "28-JAN-US"</t>
  </si>
  <si>
    <t xml:space="preserve">JAN</t>
  </si>
  <si>
    <t xml:space="preserve">MATCH()</t>
  </si>
  <si>
    <t xml:space="preserve">Finds the POSITION of a value inside an array/list.
Syntax: =MATCH(lookup_value, lookup_array, 0)
0 = exact match</t>
  </si>
  <si>
    <t xml:space="preserve">Q (DATE2 — used inside CHOOSE)</t>
  </si>
  <si>
    <t xml:space="preserve">Task 5b — Find which number position JAN/FEB/... is in the month list</t>
  </si>
  <si>
    <t xml:space="preserve">'=MATCH(MID(A2,4,3),
{"JAN","FEB",...,"DEC"},0)</t>
  </si>
  <si>
    <t xml:space="preserve">1 (JAN is position 1)</t>
  </si>
  <si>
    <t xml:space="preserve">CHOOSE()</t>
  </si>
  <si>
    <t xml:space="preserve">Returns a value from a list based on a position number.
Syntax: =CHOOSE(index, value1, value2, ...)</t>
  </si>
  <si>
    <t xml:space="preserve">Q (DATE2 — used inside full formula)</t>
  </si>
  <si>
    <t xml:space="preserve">Task 5b — Convert month position to 2-digit number (1 → "01")</t>
  </si>
  <si>
    <t xml:space="preserve">'=CHOOSE(1,"01","02","03",...,"12")</t>
  </si>
  <si>
    <t xml:space="preserve">"01"</t>
  </si>
  <si>
    <t xml:space="preserve">&amp; (Ampersand)
Concatenate</t>
  </si>
  <si>
    <t xml:space="preserve">Joins two or more text strings together.
Syntax: =text1 &amp; " " &amp; text2
No separate function needed — just use &amp; between values</t>
  </si>
  <si>
    <t xml:space="preserve">O (Brand Product)
Q (DATE2 — joins day, month, year)</t>
  </si>
  <si>
    <t xml:space="preserve">Task 4b — Merge Brand Name + Product Name into one column</t>
  </si>
  <si>
    <t xml:space="preserve">'=H2&amp;" "&amp;I2
where H2="Laptop", I2="Dell"</t>
  </si>
  <si>
    <t xml:space="preserve">Laptop Dell</t>
  </si>
  <si>
    <t xml:space="preserve">Full DATE2 Formula
(LEFT + MID + MATCH
+ CHOOSE + &amp;)</t>
  </si>
  <si>
    <t xml:space="preserve">All the above functions combined into one formula to build the DD-MM-YYYY date string from the Product ID.</t>
  </si>
  <si>
    <t xml:space="preserve">Q (DATE2)</t>
  </si>
  <si>
    <t xml:space="preserve">Task 5b — Convert '28-JAN-US' into formatted date '28-01-2024'</t>
  </si>
  <si>
    <t xml:space="preserve">'=LEFT(A2,2)&amp;"-"&amp;CHOOSE(
  MATCH(MID(A2,4,3),
  {"JAN","FEB",...,"DEC"},0),
  "01","02",...,"12")
&amp;"-2024"</t>
  </si>
  <si>
    <t xml:space="preserve">28-01-2024</t>
  </si>
  <si>
    <t xml:space="preserve">SUMIF()</t>
  </si>
  <si>
    <t xml:space="preserve">Adds up values only for rows that match a condition.
Syntax: =SUMIF(range, criteria, sum_range)</t>
  </si>
  <si>
    <t xml:space="preserve">S (side note in
Workout sheet)</t>
  </si>
  <si>
    <t xml:space="preserve">Bonus — Calculate total price per category (e.g. Electronics)</t>
  </si>
  <si>
    <t xml:space="preserve">'=SUMIF(P2:P35,"Electronics",K2:K35)</t>
  </si>
  <si>
    <t xml:space="preserve">Total of all Electronics prices</t>
  </si>
  <si>
    <t xml:space="preserve">Conditional Formatting
— Data Bars</t>
  </si>
  <si>
    <t xml:space="preserve">Draws a coloured bar inside each cell scaled to its value. Applied via:
Home → Conditional Formatting → Data Bars → Gradient Fill (Blue)</t>
  </si>
  <si>
    <t xml:space="preserve">Price column
(full clean data sheet E2:E32)</t>
  </si>
  <si>
    <t xml:space="preserve">Task 6a — Show price magnitude visually with blue gradient bars</t>
  </si>
  <si>
    <t xml:space="preserve">No formula — applied via
Excel ribbon menu.
Range: E2:E32</t>
  </si>
  <si>
    <t xml:space="preserve">Blue bar proportional
to price value</t>
  </si>
  <si>
    <t xml:space="preserve">Conditional Formatting
— Custom Rule</t>
  </si>
  <si>
    <t xml:space="preserve">Highlights cells matching a condition with a custom format.
Applied via: Home → Cond. Formatting → New Rule → Cell value equals 'Electronics'</t>
  </si>
  <si>
    <t xml:space="preserve">Category column
(full clean data sheet G2:G32)</t>
  </si>
  <si>
    <t xml:space="preserve">Task 6b — Highlight all 'Electronics' rows with gold background and bold font</t>
  </si>
  <si>
    <t xml:space="preserve">Rule formula:
=NOT(ISERROR(SEARCH
("Electronics",G2)))
Fill: Gold #FFD700, Bold</t>
  </si>
  <si>
    <t xml:space="preserve">Gold background
+ Bold text</t>
  </si>
  <si>
    <t xml:space="preserve">Colour key:   Teal = Text functions (PROPER)     Orange = Logical (IF)     Green = String extract (LEFT/RIGHT/MID)     Purple = Lookup (MATCH/CHOOSE)     Blue = Concatenate (&amp;)     Yellow = SUMIF &amp; Conditional Formatting</t>
  </si>
  <si>
    <t xml:space="preserve">Brand product</t>
  </si>
  <si>
    <t xml:space="preserve">15-02-2024</t>
  </si>
  <si>
    <t xml:space="preserve">Sneakers Nike</t>
  </si>
  <si>
    <t xml:space="preserve">03-03-2024</t>
  </si>
  <si>
    <t xml:space="preserve">Coffee Maker Keurig</t>
  </si>
  <si>
    <t xml:space="preserve">11-04-2024</t>
  </si>
  <si>
    <t xml:space="preserve">Smartphone Samsung</t>
  </si>
  <si>
    <t xml:space="preserve">22-05-2024</t>
  </si>
  <si>
    <t xml:space="preserve">Backpack North Face</t>
  </si>
  <si>
    <t xml:space="preserve">07-06-2024</t>
  </si>
  <si>
    <t xml:space="preserve">UK</t>
  </si>
  <si>
    <t xml:space="preserve">Headphones Sony</t>
  </si>
  <si>
    <t xml:space="preserve">19-07-2024</t>
  </si>
  <si>
    <t xml:space="preserve">T-Shirt</t>
  </si>
  <si>
    <t xml:space="preserve">T-Shirt Adidas</t>
  </si>
  <si>
    <t xml:space="preserve">23-08-2024</t>
  </si>
  <si>
    <t xml:space="preserve">Blender Ninja</t>
  </si>
  <si>
    <t xml:space="preserve">05-09-2024</t>
  </si>
  <si>
    <t xml:space="preserve">Tablet Apple</t>
  </si>
  <si>
    <t xml:space="preserve">14-10-2024</t>
  </si>
  <si>
    <t xml:space="preserve">Hiking Boots Timberland</t>
  </si>
  <si>
    <t xml:space="preserve">17-06-2024</t>
  </si>
  <si>
    <t xml:space="preserve">IN</t>
  </si>
  <si>
    <t xml:space="preserve">Laptop HP</t>
  </si>
  <si>
    <t xml:space="preserve">25-11-2024</t>
  </si>
  <si>
    <t xml:space="preserve">AU</t>
  </si>
  <si>
    <t xml:space="preserve">Sneakers Adidas</t>
  </si>
  <si>
    <t xml:space="preserve">08-12-2024</t>
  </si>
  <si>
    <t xml:space="preserve">DE</t>
  </si>
  <si>
    <t xml:space="preserve">Coffee Maker Nespresso</t>
  </si>
  <si>
    <t xml:space="preserve">18-02-2024</t>
  </si>
  <si>
    <t xml:space="preserve">CA</t>
  </si>
  <si>
    <t xml:space="preserve">Smartwatch Fitbit</t>
  </si>
  <si>
    <t xml:space="preserve">16-04-2024</t>
  </si>
  <si>
    <t xml:space="preserve">ES</t>
  </si>
  <si>
    <t xml:space="preserve">Headphones Bose</t>
  </si>
  <si>
    <t xml:space="preserve">21-08-2024</t>
  </si>
  <si>
    <t xml:space="preserve">Laptop Bag Samsonite</t>
  </si>
  <si>
    <t xml:space="preserve">20-08-2024</t>
  </si>
  <si>
    <t xml:space="preserve">CN</t>
  </si>
  <si>
    <t xml:space="preserve">Smartwatch Huawei</t>
  </si>
  <si>
    <t xml:space="preserve">27-01-2024</t>
  </si>
  <si>
    <t xml:space="preserve">IT</t>
  </si>
  <si>
    <t xml:space="preserve">Laptop Asus</t>
  </si>
  <si>
    <t xml:space="preserve">01-03-2024</t>
  </si>
  <si>
    <t xml:space="preserve">Sunglasses Oakley</t>
  </si>
  <si>
    <t xml:space="preserve">14-08-2024</t>
  </si>
  <si>
    <t xml:space="preserve">Camping Tent Coleman</t>
  </si>
  <si>
    <t xml:space="preserve">14-05-2024</t>
  </si>
  <si>
    <t xml:space="preserve">RU</t>
  </si>
  <si>
    <t xml:space="preserve">Camera Nikon</t>
  </si>
  <si>
    <t xml:space="preserve">09-01-2024</t>
  </si>
  <si>
    <t xml:space="preserve">Microwave Panasonic</t>
  </si>
  <si>
    <t xml:space="preserve">BR</t>
  </si>
  <si>
    <t xml:space="preserve">Fitness Tracker Xiaomi</t>
  </si>
  <si>
    <t xml:space="preserve">29-09-2024</t>
  </si>
  <si>
    <t xml:space="preserve">Smartphone Google</t>
  </si>
  <si>
    <t xml:space="preserve">03-06-2024</t>
  </si>
  <si>
    <t xml:space="preserve">Sunglasses Ray-Ban</t>
  </si>
  <si>
    <t xml:space="preserve">11-07-2024</t>
  </si>
  <si>
    <t xml:space="preserve">Blender Vitamix</t>
  </si>
  <si>
    <t xml:space="preserve">07-03-2024</t>
  </si>
  <si>
    <t xml:space="preserve">Dress Zara</t>
  </si>
  <si>
    <t xml:space="preserve">13-04-2024</t>
  </si>
  <si>
    <t xml:space="preserve">Toaster Hamilton</t>
  </si>
  <si>
    <t xml:space="preserve">24-05-2024</t>
  </si>
  <si>
    <t xml:space="preserve">Fitness Tracker Garmin</t>
  </si>
  <si>
    <t xml:space="preserve">02-12-2024</t>
  </si>
  <si>
    <t xml:space="preserve">Jeans Levi's</t>
  </si>
  <si>
    <t xml:space="preserve">09-07-2024</t>
  </si>
  <si>
    <t xml:space="preserve">FR</t>
  </si>
  <si>
    <t xml:space="preserve">Watch Casio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</si>
</sst>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0"/>
      <color rgb="FF1A1A1A"/>
      <name val="Calibri"/>
      <family val="0"/>
      <charset val="1"/>
    </font>
    <font>
      <sz val="9"/>
      <color rgb="FF1A1A1A"/>
      <name val="Calibri"/>
      <family val="0"/>
      <charset val="1"/>
    </font>
    <font>
      <i val="true"/>
      <sz val="9"/>
      <color rgb="FF00008B"/>
      <name val="Calibri"/>
      <family val="0"/>
      <charset val="1"/>
    </font>
    <font>
      <b val="true"/>
      <sz val="10"/>
      <color rgb="FF375623"/>
      <name val="Calibri"/>
      <family val="0"/>
      <charset val="1"/>
    </font>
    <font>
      <i val="true"/>
      <sz val="8"/>
      <color rgb="FF595959"/>
      <name val="Calibri"/>
      <family val="0"/>
      <charset val="1"/>
    </font>
    <font>
      <b val="true"/>
      <sz val="11"/>
      <name val="Calibri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4472C4"/>
        <bgColor rgb="FF2F4F8F"/>
      </patternFill>
    </fill>
    <fill>
      <patternFill patternType="solid">
        <fgColor rgb="FFDCE6F1"/>
        <bgColor rgb="FFDEEAF1"/>
      </patternFill>
    </fill>
    <fill>
      <patternFill patternType="solid">
        <fgColor rgb="FFEBF1F9"/>
        <bgColor rgb="FFF0F0FF"/>
      </patternFill>
    </fill>
    <fill>
      <patternFill patternType="solid">
        <fgColor rgb="FF2F4F8F"/>
        <bgColor rgb="FF595959"/>
      </patternFill>
    </fill>
    <fill>
      <patternFill patternType="solid">
        <fgColor rgb="FFDDEBF7"/>
        <bgColor rgb="FFDEEAF1"/>
      </patternFill>
    </fill>
    <fill>
      <patternFill patternType="solid">
        <fgColor rgb="FFFFFFFF"/>
        <bgColor rgb="FFF2F2F2"/>
      </patternFill>
    </fill>
    <fill>
      <patternFill patternType="solid">
        <fgColor rgb="FFF0F0FF"/>
        <bgColor rgb="FFEBF1F9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FF2CC"/>
      </patternFill>
    </fill>
    <fill>
      <patternFill patternType="solid">
        <fgColor rgb="FFE2CFEC"/>
        <bgColor rgb="FFDCE6F1"/>
      </patternFill>
    </fill>
    <fill>
      <patternFill patternType="solid">
        <fgColor rgb="FFBDD7EE"/>
        <bgColor rgb="FFDCE6F1"/>
      </patternFill>
    </fill>
    <fill>
      <patternFill patternType="solid">
        <fgColor rgb="FFFFF2CC"/>
        <bgColor rgb="FFFCE4D6"/>
      </patternFill>
    </fill>
    <fill>
      <patternFill patternType="solid">
        <fgColor rgb="FFDEEAF1"/>
        <bgColor rgb="FFDDEBF7"/>
      </patternFill>
    </fill>
    <fill>
      <patternFill patternType="solid">
        <fgColor rgb="FFF2F2F2"/>
        <bgColor rgb="FFEBF1F9"/>
      </patternFill>
    </fill>
    <fill>
      <patternFill patternType="solid">
        <fgColor rgb="FFFFD7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B"/>
      <rgbColor rgb="FF808000"/>
      <rgbColor rgb="FF800080"/>
      <rgbColor rgb="FF008080"/>
      <rgbColor rgb="FFBFBFBF"/>
      <rgbColor rgb="FF808080"/>
      <rgbColor rgb="FFEBF1F9"/>
      <rgbColor rgb="FF993366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2F2F2"/>
      <rgbColor rgb="FFE2CFEC"/>
      <rgbColor rgb="FFF0F0FF"/>
      <rgbColor rgb="FFDCE6F1"/>
      <rgbColor rgb="FFFCE4D6"/>
      <rgbColor rgb="FF4472C4"/>
      <rgbColor rgb="FF33CCCC"/>
      <rgbColor rgb="FF99CC00"/>
      <rgbColor rgb="FFFFD700"/>
      <rgbColor rgb="FFFF9900"/>
      <rgbColor rgb="FFFF6600"/>
      <rgbColor rgb="FF595959"/>
      <rgbColor rgb="FF969696"/>
      <rgbColor rgb="FF003366"/>
      <rgbColor rgb="FF339966"/>
      <rgbColor rgb="FF003300"/>
      <rgbColor rgb="FF375623"/>
      <rgbColor rgb="FF993300"/>
      <rgbColor rgb="FF993366"/>
      <rgbColor rgb="FF2F4F8F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5" min="4" style="1" width="10"/>
    <col collapsed="false" customWidth="true" hidden="false" outlineLevel="0" max="6" min="6" style="1" width="14"/>
  </cols>
  <sheetData>
    <row r="1" customFormat="false" ht="19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true" outlineLevel="0" collapsed="false">
      <c r="A2" s="3" t="s">
        <v>6</v>
      </c>
      <c r="B2" s="3" t="s">
        <v>7</v>
      </c>
      <c r="C2" s="3" t="s">
        <v>8</v>
      </c>
      <c r="D2" s="4" t="n">
        <v>1000</v>
      </c>
      <c r="E2" s="4" t="n">
        <v>30</v>
      </c>
      <c r="F2" s="3" t="s">
        <v>9</v>
      </c>
    </row>
    <row r="3" customFormat="false" ht="15" hidden="false" customHeight="true" outlineLevel="0" collapsed="false">
      <c r="A3" s="5" t="s">
        <v>10</v>
      </c>
      <c r="B3" s="5" t="s">
        <v>11</v>
      </c>
      <c r="C3" s="5" t="s">
        <v>12</v>
      </c>
      <c r="D3" s="6" t="n">
        <v>80</v>
      </c>
      <c r="E3" s="6" t="n">
        <v>15</v>
      </c>
      <c r="F3" s="5" t="s">
        <v>13</v>
      </c>
    </row>
    <row r="4" customFormat="false" ht="15" hidden="false" customHeight="true" outlineLevel="0" collapsed="false">
      <c r="A4" s="3" t="s">
        <v>14</v>
      </c>
      <c r="B4" s="3" t="s">
        <v>15</v>
      </c>
      <c r="C4" s="3" t="s">
        <v>16</v>
      </c>
      <c r="D4" s="4" t="n">
        <v>130</v>
      </c>
      <c r="E4" s="4" t="n">
        <v>40</v>
      </c>
      <c r="F4" s="3" t="s">
        <v>17</v>
      </c>
    </row>
    <row r="5" customFormat="false" ht="15" hidden="false" customHeight="true" outlineLevel="0" collapsed="false">
      <c r="A5" s="5" t="s">
        <v>18</v>
      </c>
      <c r="B5" s="5" t="s">
        <v>19</v>
      </c>
      <c r="C5" s="5" t="s">
        <v>20</v>
      </c>
      <c r="D5" s="6" t="n">
        <v>900</v>
      </c>
      <c r="E5" s="6" t="n">
        <v>25</v>
      </c>
      <c r="F5" s="5" t="s">
        <v>9</v>
      </c>
    </row>
    <row r="6" customFormat="false" ht="15" hidden="false" customHeight="true" outlineLevel="0" collapsed="false">
      <c r="A6" s="3" t="s">
        <v>21</v>
      </c>
      <c r="B6" s="3" t="s">
        <v>22</v>
      </c>
      <c r="C6" s="3" t="s">
        <v>23</v>
      </c>
      <c r="D6" s="4" t="n">
        <v>70</v>
      </c>
      <c r="E6" s="4" t="n">
        <v>20</v>
      </c>
      <c r="F6" s="3"/>
    </row>
    <row r="7" customFormat="false" ht="15" hidden="false" customHeight="true" outlineLevel="0" collapsed="false">
      <c r="A7" s="5" t="s">
        <v>24</v>
      </c>
      <c r="B7" s="5" t="s">
        <v>25</v>
      </c>
      <c r="C7" s="5" t="s">
        <v>26</v>
      </c>
      <c r="D7" s="6"/>
      <c r="E7" s="6" t="n">
        <v>45</v>
      </c>
      <c r="F7" s="5" t="s">
        <v>27</v>
      </c>
    </row>
    <row r="8" customFormat="false" ht="15" hidden="false" customHeight="true" outlineLevel="0" collapsed="false">
      <c r="A8" s="3" t="s">
        <v>28</v>
      </c>
      <c r="B8" s="3" t="s">
        <v>29</v>
      </c>
      <c r="C8" s="3" t="s">
        <v>30</v>
      </c>
      <c r="D8" s="4" t="n">
        <v>30</v>
      </c>
      <c r="E8" s="4" t="n">
        <v>5</v>
      </c>
      <c r="F8" s="3" t="s">
        <v>13</v>
      </c>
    </row>
    <row r="9" customFormat="false" ht="15" hidden="false" customHeight="true" outlineLevel="0" collapsed="false">
      <c r="A9" s="5" t="s">
        <v>31</v>
      </c>
      <c r="B9" s="5" t="s">
        <v>32</v>
      </c>
      <c r="C9" s="5" t="s">
        <v>33</v>
      </c>
      <c r="D9" s="6" t="n">
        <v>90</v>
      </c>
      <c r="E9" s="6" t="n">
        <v>35</v>
      </c>
      <c r="F9" s="5" t="s">
        <v>17</v>
      </c>
    </row>
    <row r="10" customFormat="false" ht="15" hidden="false" customHeight="true" outlineLevel="0" collapsed="false">
      <c r="A10" s="3" t="s">
        <v>34</v>
      </c>
      <c r="B10" s="3" t="s">
        <v>35</v>
      </c>
      <c r="C10" s="3" t="s">
        <v>36</v>
      </c>
      <c r="D10" s="4" t="n">
        <v>500</v>
      </c>
      <c r="E10" s="4" t="n">
        <v>50</v>
      </c>
      <c r="F10" s="3" t="s">
        <v>9</v>
      </c>
    </row>
    <row r="11" customFormat="false" ht="15" hidden="false" customHeight="true" outlineLevel="0" collapsed="false">
      <c r="A11" s="5" t="s">
        <v>37</v>
      </c>
      <c r="B11" s="5" t="s">
        <v>38</v>
      </c>
      <c r="C11" s="5" t="s">
        <v>39</v>
      </c>
      <c r="D11" s="6" t="n">
        <v>130</v>
      </c>
      <c r="E11" s="6" t="n">
        <v>10</v>
      </c>
      <c r="F11" s="5" t="s">
        <v>40</v>
      </c>
    </row>
    <row r="12" customFormat="false" ht="15" hidden="false" customHeight="true" outlineLevel="0" collapsed="false">
      <c r="A12" s="3" t="s">
        <v>41</v>
      </c>
      <c r="B12" s="3" t="s">
        <v>42</v>
      </c>
      <c r="C12" s="3" t="s">
        <v>43</v>
      </c>
      <c r="D12" s="4" t="n">
        <v>950</v>
      </c>
      <c r="E12" s="4" t="n">
        <v>25</v>
      </c>
      <c r="F12" s="3" t="s">
        <v>9</v>
      </c>
    </row>
    <row r="13" customFormat="false" ht="15" hidden="false" customHeight="true" outlineLevel="0" collapsed="false">
      <c r="A13" s="5" t="s">
        <v>44</v>
      </c>
      <c r="B13" s="5" t="s">
        <v>11</v>
      </c>
      <c r="C13" s="5" t="s">
        <v>30</v>
      </c>
      <c r="D13" s="6" t="n">
        <v>90</v>
      </c>
      <c r="E13" s="6" t="n">
        <v>40</v>
      </c>
      <c r="F13" s="5"/>
    </row>
    <row r="14" customFormat="false" ht="15" hidden="false" customHeight="true" outlineLevel="0" collapsed="false">
      <c r="A14" s="3" t="s">
        <v>45</v>
      </c>
      <c r="B14" s="3" t="s">
        <v>15</v>
      </c>
      <c r="C14" s="3" t="s">
        <v>46</v>
      </c>
      <c r="D14" s="4" t="n">
        <v>120</v>
      </c>
      <c r="E14" s="4" t="n">
        <v>35</v>
      </c>
      <c r="F14" s="3"/>
    </row>
    <row r="15" customFormat="false" ht="15" hidden="false" customHeight="true" outlineLevel="0" collapsed="false">
      <c r="A15" s="5" t="s">
        <v>47</v>
      </c>
      <c r="B15" s="5" t="s">
        <v>48</v>
      </c>
      <c r="C15" s="5" t="s">
        <v>49</v>
      </c>
      <c r="D15" s="6" t="n">
        <v>150</v>
      </c>
      <c r="E15" s="6" t="n">
        <v>15</v>
      </c>
      <c r="F15" s="5" t="s">
        <v>27</v>
      </c>
    </row>
    <row r="16" customFormat="false" ht="15" hidden="false" customHeight="true" outlineLevel="0" collapsed="false">
      <c r="A16" s="3" t="s">
        <v>50</v>
      </c>
      <c r="B16" s="3" t="s">
        <v>51</v>
      </c>
      <c r="C16" s="3" t="s">
        <v>52</v>
      </c>
      <c r="D16" s="4" t="n">
        <v>250</v>
      </c>
      <c r="E16" s="4" t="n">
        <v>20</v>
      </c>
      <c r="F16" s="3" t="s">
        <v>27</v>
      </c>
    </row>
    <row r="17" customFormat="false" ht="15" hidden="false" customHeight="true" outlineLevel="0" collapsed="false">
      <c r="A17" s="5" t="s">
        <v>53</v>
      </c>
      <c r="B17" s="5" t="s">
        <v>54</v>
      </c>
      <c r="C17" s="5" t="s">
        <v>55</v>
      </c>
      <c r="D17" s="6" t="n">
        <v>50</v>
      </c>
      <c r="E17" s="6" t="n">
        <v>35</v>
      </c>
      <c r="F17" s="5" t="s">
        <v>56</v>
      </c>
    </row>
    <row r="18" customFormat="false" ht="15" hidden="false" customHeight="true" outlineLevel="0" collapsed="false">
      <c r="A18" s="3" t="s">
        <v>57</v>
      </c>
      <c r="B18" s="3" t="s">
        <v>48</v>
      </c>
      <c r="C18" s="3" t="s">
        <v>58</v>
      </c>
      <c r="D18" s="4" t="n">
        <v>160</v>
      </c>
      <c r="E18" s="4" t="n">
        <v>15</v>
      </c>
      <c r="F18" s="3" t="s">
        <v>27</v>
      </c>
    </row>
    <row r="19" customFormat="false" ht="15" hidden="false" customHeight="true" outlineLevel="0" collapsed="false">
      <c r="A19" s="5" t="s">
        <v>59</v>
      </c>
      <c r="B19" s="5" t="s">
        <v>7</v>
      </c>
      <c r="C19" s="5" t="s">
        <v>60</v>
      </c>
      <c r="D19" s="6" t="n">
        <v>980</v>
      </c>
      <c r="E19" s="6" t="n">
        <v>10</v>
      </c>
      <c r="F19" s="5" t="s">
        <v>9</v>
      </c>
    </row>
    <row r="20" customFormat="false" ht="15" hidden="false" customHeight="true" outlineLevel="0" collapsed="false">
      <c r="A20" s="3" t="s">
        <v>61</v>
      </c>
      <c r="B20" s="3" t="s">
        <v>62</v>
      </c>
      <c r="C20" s="3" t="s">
        <v>63</v>
      </c>
      <c r="D20" s="4" t="n">
        <v>150</v>
      </c>
      <c r="E20" s="4" t="n">
        <v>15</v>
      </c>
      <c r="F20" s="3" t="s">
        <v>13</v>
      </c>
    </row>
    <row r="21" customFormat="false" ht="15" hidden="false" customHeight="true" outlineLevel="0" collapsed="false">
      <c r="A21" s="5" t="s">
        <v>64</v>
      </c>
      <c r="B21" s="5" t="s">
        <v>65</v>
      </c>
      <c r="C21" s="5" t="s">
        <v>66</v>
      </c>
      <c r="D21" s="6"/>
      <c r="E21" s="6" t="n">
        <v>10</v>
      </c>
      <c r="F21" s="5" t="s">
        <v>40</v>
      </c>
    </row>
    <row r="22" customFormat="false" ht="15" hidden="false" customHeight="true" outlineLevel="0" collapsed="false">
      <c r="A22" s="3" t="s">
        <v>67</v>
      </c>
      <c r="B22" s="3" t="s">
        <v>68</v>
      </c>
      <c r="C22" s="3" t="s">
        <v>69</v>
      </c>
      <c r="D22" s="4" t="n">
        <v>700</v>
      </c>
      <c r="E22" s="4" t="n">
        <v>50</v>
      </c>
      <c r="F22" s="3" t="s">
        <v>9</v>
      </c>
    </row>
    <row r="23" customFormat="false" ht="15" hidden="false" customHeight="true" outlineLevel="0" collapsed="false">
      <c r="A23" s="5" t="s">
        <v>70</v>
      </c>
      <c r="B23" s="5" t="s">
        <v>71</v>
      </c>
      <c r="C23" s="5" t="s">
        <v>72</v>
      </c>
      <c r="D23" s="6" t="n">
        <v>80</v>
      </c>
      <c r="E23" s="6" t="n">
        <v>20</v>
      </c>
      <c r="F23" s="5" t="s">
        <v>17</v>
      </c>
    </row>
    <row r="24" customFormat="false" ht="15" hidden="false" customHeight="true" outlineLevel="0" collapsed="false">
      <c r="A24" s="3" t="s">
        <v>73</v>
      </c>
      <c r="B24" s="3" t="s">
        <v>74</v>
      </c>
      <c r="C24" s="3" t="s">
        <v>75</v>
      </c>
      <c r="D24" s="4" t="n">
        <v>150</v>
      </c>
      <c r="E24" s="4" t="n">
        <v>30</v>
      </c>
      <c r="F24" s="3"/>
    </row>
    <row r="25" customFormat="false" ht="15" hidden="false" customHeight="true" outlineLevel="0" collapsed="false">
      <c r="A25" s="5" t="s">
        <v>53</v>
      </c>
      <c r="B25" s="5" t="s">
        <v>54</v>
      </c>
      <c r="C25" s="5" t="s">
        <v>55</v>
      </c>
      <c r="D25" s="6" t="n">
        <v>50</v>
      </c>
      <c r="E25" s="6" t="n">
        <v>35</v>
      </c>
      <c r="F25" s="5" t="s">
        <v>56</v>
      </c>
    </row>
    <row r="26" customFormat="false" ht="15" hidden="false" customHeight="true" outlineLevel="0" collapsed="false">
      <c r="A26" s="3" t="s">
        <v>76</v>
      </c>
      <c r="B26" s="3" t="s">
        <v>77</v>
      </c>
      <c r="C26" s="3" t="s">
        <v>78</v>
      </c>
      <c r="D26" s="4" t="n">
        <v>800</v>
      </c>
      <c r="E26" s="4" t="n">
        <v>45</v>
      </c>
      <c r="F26" s="3" t="s">
        <v>9</v>
      </c>
    </row>
    <row r="27" customFormat="false" ht="15" hidden="false" customHeight="true" outlineLevel="0" collapsed="false">
      <c r="A27" s="5" t="s">
        <v>79</v>
      </c>
      <c r="B27" s="5" t="s">
        <v>62</v>
      </c>
      <c r="C27" s="5" t="s">
        <v>80</v>
      </c>
      <c r="D27" s="6"/>
      <c r="E27" s="6" t="n">
        <v>25</v>
      </c>
      <c r="F27" s="5" t="s">
        <v>13</v>
      </c>
    </row>
    <row r="28" customFormat="false" ht="15" hidden="false" customHeight="true" outlineLevel="0" collapsed="false">
      <c r="A28" s="3" t="s">
        <v>81</v>
      </c>
      <c r="B28" s="3" t="s">
        <v>32</v>
      </c>
      <c r="C28" s="3" t="s">
        <v>82</v>
      </c>
      <c r="D28" s="4" t="n">
        <v>400</v>
      </c>
      <c r="E28" s="4" t="n">
        <v>40</v>
      </c>
      <c r="F28" s="3" t="s">
        <v>17</v>
      </c>
    </row>
    <row r="29" customFormat="false" ht="15" hidden="false" customHeight="true" outlineLevel="0" collapsed="false">
      <c r="A29" s="5" t="s">
        <v>50</v>
      </c>
      <c r="B29" s="5" t="s">
        <v>51</v>
      </c>
      <c r="C29" s="5" t="s">
        <v>52</v>
      </c>
      <c r="D29" s="6" t="n">
        <v>250</v>
      </c>
      <c r="E29" s="6" t="n">
        <v>20</v>
      </c>
      <c r="F29" s="5" t="s">
        <v>27</v>
      </c>
    </row>
    <row r="30" customFormat="false" ht="15" hidden="false" customHeight="true" outlineLevel="0" collapsed="false">
      <c r="A30" s="3" t="s">
        <v>83</v>
      </c>
      <c r="B30" s="3" t="s">
        <v>84</v>
      </c>
      <c r="C30" s="3" t="s">
        <v>85</v>
      </c>
      <c r="D30" s="4" t="n">
        <v>60</v>
      </c>
      <c r="E30" s="4" t="n">
        <v>30</v>
      </c>
      <c r="F30" s="3" t="s">
        <v>13</v>
      </c>
    </row>
    <row r="31" customFormat="false" ht="15" hidden="false" customHeight="true" outlineLevel="0" collapsed="false">
      <c r="A31" s="5" t="s">
        <v>86</v>
      </c>
      <c r="B31" s="5" t="s">
        <v>87</v>
      </c>
      <c r="C31" s="5" t="s">
        <v>88</v>
      </c>
      <c r="D31" s="6" t="n">
        <v>40</v>
      </c>
      <c r="E31" s="6" t="n">
        <v>10</v>
      </c>
      <c r="F31" s="5" t="s">
        <v>17</v>
      </c>
    </row>
    <row r="32" customFormat="false" ht="15" hidden="false" customHeight="true" outlineLevel="0" collapsed="false">
      <c r="A32" s="3" t="s">
        <v>89</v>
      </c>
      <c r="B32" s="3" t="s">
        <v>74</v>
      </c>
      <c r="C32" s="3" t="s">
        <v>90</v>
      </c>
      <c r="D32" s="4" t="n">
        <v>130</v>
      </c>
      <c r="E32" s="4" t="n">
        <v>5</v>
      </c>
      <c r="F32" s="3" t="s">
        <v>9</v>
      </c>
    </row>
    <row r="33" customFormat="false" ht="15" hidden="false" customHeight="true" outlineLevel="0" collapsed="false">
      <c r="A33" s="5" t="s">
        <v>91</v>
      </c>
      <c r="B33" s="5" t="s">
        <v>92</v>
      </c>
      <c r="C33" s="5" t="s">
        <v>93</v>
      </c>
      <c r="D33" s="6" t="n">
        <v>50</v>
      </c>
      <c r="E33" s="6" t="n">
        <v>50</v>
      </c>
      <c r="F33" s="5" t="s">
        <v>13</v>
      </c>
    </row>
    <row r="34" customFormat="false" ht="15" hidden="false" customHeight="true" outlineLevel="0" collapsed="false">
      <c r="A34" s="3" t="s">
        <v>41</v>
      </c>
      <c r="B34" s="3" t="s">
        <v>42</v>
      </c>
      <c r="C34" s="3" t="s">
        <v>43</v>
      </c>
      <c r="D34" s="4" t="n">
        <v>950</v>
      </c>
      <c r="E34" s="4" t="n">
        <v>25</v>
      </c>
      <c r="F34" s="3" t="s">
        <v>9</v>
      </c>
    </row>
    <row r="35" customFormat="false" ht="15" hidden="false" customHeight="true" outlineLevel="0" collapsed="false">
      <c r="A35" s="5" t="s">
        <v>94</v>
      </c>
      <c r="B35" s="5" t="s">
        <v>95</v>
      </c>
      <c r="C35" s="5" t="s">
        <v>96</v>
      </c>
      <c r="D35" s="6" t="n">
        <v>100</v>
      </c>
      <c r="E35" s="6" t="n">
        <v>20</v>
      </c>
      <c r="F35" s="5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5" min="4" style="1" width="10"/>
    <col collapsed="false" customWidth="true" hidden="false" outlineLevel="0" max="6" min="6" style="1" width="14"/>
    <col collapsed="false" customWidth="true" hidden="false" outlineLevel="0" max="7" min="7" style="1" width="4"/>
    <col collapsed="false" customWidth="true" hidden="false" outlineLevel="0" max="8" min="8" style="1" width="16"/>
    <col collapsed="false" customWidth="true" hidden="false" outlineLevel="0" max="9" min="9" style="1" width="14"/>
    <col collapsed="false" customWidth="true" hidden="false" outlineLevel="0" max="10" min="10" style="1" width="16"/>
    <col collapsed="false" customWidth="true" hidden="false" outlineLevel="0" max="12" min="11" style="1" width="14"/>
    <col collapsed="false" customWidth="true" hidden="false" outlineLevel="0" max="13" min="13" style="1" width="12"/>
    <col collapsed="false" customWidth="true" hidden="false" outlineLevel="0" max="14" min="14" style="1" width="10"/>
    <col collapsed="false" customWidth="true" hidden="false" outlineLevel="0" max="15" min="15" style="1" width="22"/>
    <col collapsed="false" customWidth="true" hidden="false" outlineLevel="0" max="16" min="16" style="1" width="20"/>
    <col collapsed="false" customWidth="true" hidden="false" outlineLevel="0" max="17" min="17" style="1" width="14"/>
    <col collapsed="false" customWidth="true" hidden="false" outlineLevel="0" max="18" min="18" style="1" width="4"/>
    <col collapsed="false" customWidth="true" hidden="false" outlineLevel="0" max="19" min="19" style="1" width="40"/>
  </cols>
  <sheetData>
    <row r="1" customFormat="false" ht="19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 t="s">
        <v>97</v>
      </c>
      <c r="I1" s="2" t="s">
        <v>98</v>
      </c>
      <c r="J1" s="2" t="s">
        <v>99</v>
      </c>
      <c r="K1" s="2" t="s">
        <v>100</v>
      </c>
      <c r="L1" s="2" t="s">
        <v>101</v>
      </c>
      <c r="M1" s="2" t="s">
        <v>102</v>
      </c>
      <c r="N1" s="2" t="s">
        <v>103</v>
      </c>
      <c r="O1" s="2" t="s">
        <v>104</v>
      </c>
      <c r="P1" s="2" t="s">
        <v>105</v>
      </c>
      <c r="Q1" s="2" t="s">
        <v>106</v>
      </c>
    </row>
    <row r="2" customFormat="false" ht="15" hidden="false" customHeight="true" outlineLevel="0" collapsed="false">
      <c r="A2" s="7" t="s">
        <v>6</v>
      </c>
      <c r="B2" s="7" t="s">
        <v>7</v>
      </c>
      <c r="C2" s="7" t="s">
        <v>8</v>
      </c>
      <c r="D2" s="8" t="n">
        <v>1000</v>
      </c>
      <c r="E2" s="8" t="n">
        <v>30</v>
      </c>
      <c r="F2" s="7" t="s">
        <v>9</v>
      </c>
      <c r="G2" s="7"/>
      <c r="H2" s="7" t="str">
        <f aca="false">PROPER(B2)</f>
        <v>Laptop</v>
      </c>
      <c r="I2" s="7" t="str">
        <f aca="false">PROPER(C2)</f>
        <v>Dell</v>
      </c>
      <c r="J2" s="7" t="str">
        <f aca="false">IF(F2="Electroni","Electronics",IF(F2="","Unknown",F2))</f>
        <v>Electronics</v>
      </c>
      <c r="K2" s="7" t="n">
        <f aca="false">IF(D2="","missing",D2)</f>
        <v>1000</v>
      </c>
      <c r="L2" s="8" t="str">
        <f aca="false">PROPER(A2)</f>
        <v>28-Jan-Us</v>
      </c>
      <c r="M2" s="8" t="str">
        <f aca="false">RIGHT(A2,2)</f>
        <v>US</v>
      </c>
      <c r="N2" s="7" t="str">
        <f aca="false">LEFT(A2,6)</f>
        <v>28-JAN</v>
      </c>
      <c r="O2" s="7" t="str">
        <f aca="false">H2&amp;" "&amp;I2</f>
        <v>Laptop Dell</v>
      </c>
      <c r="P2" s="7" t="str">
        <f aca="false">J2</f>
        <v>Electronics</v>
      </c>
      <c r="Q2" s="7" t="str">
        <f aca="false">LEFT(A2,2)&amp;"-"&amp;CHOOSE(MATCH(MID(A2,4,3),{"JAN","FEB","MAR","APR","MAY","JUN","JUL","AUG","SEP","OCT","NOV","DEC"},0),"01","02","03","04","05","06","07","08","09","10","11","12")&amp;"-2024"</f>
        <v>28-01-2024</v>
      </c>
      <c r="R2" s="7"/>
      <c r="S2" s="7" t="s">
        <v>107</v>
      </c>
    </row>
    <row r="3" customFormat="false" ht="15" hidden="false" customHeight="true" outlineLevel="0" collapsed="false">
      <c r="A3" s="5" t="s">
        <v>10</v>
      </c>
      <c r="B3" s="5" t="s">
        <v>11</v>
      </c>
      <c r="C3" s="5" t="s">
        <v>12</v>
      </c>
      <c r="D3" s="6" t="n">
        <v>80</v>
      </c>
      <c r="E3" s="6" t="n">
        <v>15</v>
      </c>
      <c r="F3" s="5" t="s">
        <v>13</v>
      </c>
      <c r="G3" s="5"/>
      <c r="H3" s="5" t="str">
        <f aca="false">PROPER(B3)</f>
        <v>Sneakers</v>
      </c>
      <c r="I3" s="5" t="str">
        <f aca="false">PROPER(C3)</f>
        <v>Nike</v>
      </c>
      <c r="J3" s="5" t="str">
        <f aca="false">IF(F3="Electroni","Electronics",IF(F3="","Unknown",F3))</f>
        <v>Fashion</v>
      </c>
      <c r="K3" s="5" t="n">
        <f aca="false">IF(D3="","missing",D3)</f>
        <v>80</v>
      </c>
      <c r="L3" s="6" t="str">
        <f aca="false">PROPER(A3)</f>
        <v>15-Feb-Us</v>
      </c>
      <c r="M3" s="6" t="str">
        <f aca="false">RIGHT(A3,2)</f>
        <v>US</v>
      </c>
      <c r="N3" s="5" t="str">
        <f aca="false">LEFT(A3,6)</f>
        <v>15-FEB</v>
      </c>
      <c r="O3" s="5" t="str">
        <f aca="false">H3&amp;" "&amp;I3</f>
        <v>Sneakers Nike</v>
      </c>
      <c r="P3" s="5" t="str">
        <f aca="false">J3</f>
        <v>Fashion</v>
      </c>
      <c r="Q3" s="5" t="str">
        <f aca="false">LEFT(A3,2)&amp;"-"&amp;CHOOSE(MATCH(MID(A3,4,3),{"JAN","FEB","MAR","APR","MAY","JUN","JUL","AUG","SEP","OCT","NOV","DEC"},0),"01","02","03","04","05","06","07","08","09","10","11","12")&amp;"-2024"</f>
        <v>15-02-2024</v>
      </c>
      <c r="R3" s="5"/>
      <c r="S3" s="5"/>
    </row>
    <row r="4" customFormat="false" ht="15" hidden="false" customHeight="true" outlineLevel="0" collapsed="false">
      <c r="A4" s="7" t="s">
        <v>14</v>
      </c>
      <c r="B4" s="7" t="s">
        <v>15</v>
      </c>
      <c r="C4" s="7" t="s">
        <v>16</v>
      </c>
      <c r="D4" s="8" t="n">
        <v>130</v>
      </c>
      <c r="E4" s="8" t="n">
        <v>40</v>
      </c>
      <c r="F4" s="7" t="s">
        <v>17</v>
      </c>
      <c r="G4" s="7"/>
      <c r="H4" s="7" t="str">
        <f aca="false">PROPER(B4)</f>
        <v>Coffee Maker</v>
      </c>
      <c r="I4" s="7" t="str">
        <f aca="false">PROPER(C4)</f>
        <v>Keurig</v>
      </c>
      <c r="J4" s="7" t="str">
        <f aca="false">IF(F4="Electroni","Electronics",IF(F4="","Unknown",F4))</f>
        <v>Kitchen</v>
      </c>
      <c r="K4" s="7" t="n">
        <f aca="false">IF(D4="","missing",D4)</f>
        <v>130</v>
      </c>
      <c r="L4" s="8" t="str">
        <f aca="false">PROPER(A4)</f>
        <v>03-Mar-Us</v>
      </c>
      <c r="M4" s="8" t="str">
        <f aca="false">RIGHT(A4,2)</f>
        <v>US</v>
      </c>
      <c r="N4" s="7" t="str">
        <f aca="false">LEFT(A4,6)</f>
        <v>03-MAR</v>
      </c>
      <c r="O4" s="7" t="str">
        <f aca="false">H4&amp;" "&amp;I4</f>
        <v>Coffee Maker Keurig</v>
      </c>
      <c r="P4" s="7" t="str">
        <f aca="false">J4</f>
        <v>Kitchen</v>
      </c>
      <c r="Q4" s="7" t="str">
        <f aca="false">LEFT(A4,2)&amp;"-"&amp;CHOOSE(MATCH(MID(A4,4,3),{"JAN","FEB","MAR","APR","MAY","JUN","JUL","AUG","SEP","OCT","NOV","DEC"},0),"01","02","03","04","05","06","07","08","09","10","11","12")&amp;"-2024"</f>
        <v>03-03-2024</v>
      </c>
      <c r="R4" s="7"/>
      <c r="S4" s="7" t="n">
        <f aca="false">SUMIF(P2:P35,"Electronics",K2:K35)</f>
        <v>7720</v>
      </c>
    </row>
    <row r="5" customFormat="false" ht="15" hidden="false" customHeight="true" outlineLevel="0" collapsed="false">
      <c r="A5" s="5" t="s">
        <v>18</v>
      </c>
      <c r="B5" s="5" t="s">
        <v>19</v>
      </c>
      <c r="C5" s="5" t="s">
        <v>20</v>
      </c>
      <c r="D5" s="6" t="n">
        <v>900</v>
      </c>
      <c r="E5" s="6" t="n">
        <v>25</v>
      </c>
      <c r="F5" s="5" t="s">
        <v>9</v>
      </c>
      <c r="G5" s="5"/>
      <c r="H5" s="5" t="str">
        <f aca="false">PROPER(B5)</f>
        <v>Smartphone</v>
      </c>
      <c r="I5" s="5" t="str">
        <f aca="false">PROPER(C5)</f>
        <v>Samsung</v>
      </c>
      <c r="J5" s="5" t="str">
        <f aca="false">IF(F5="Electroni","Electronics",IF(F5="","Unknown",F5))</f>
        <v>Electronics</v>
      </c>
      <c r="K5" s="5" t="n">
        <f aca="false">IF(D5="","missing",D5)</f>
        <v>900</v>
      </c>
      <c r="L5" s="6" t="str">
        <f aca="false">PROPER(A5)</f>
        <v>11-Apr-Us</v>
      </c>
      <c r="M5" s="6" t="str">
        <f aca="false">RIGHT(A5,2)</f>
        <v>US</v>
      </c>
      <c r="N5" s="5" t="str">
        <f aca="false">LEFT(A5,6)</f>
        <v>11-APR</v>
      </c>
      <c r="O5" s="5" t="str">
        <f aca="false">H5&amp;" "&amp;I5</f>
        <v>Smartphone Samsung</v>
      </c>
      <c r="P5" s="5" t="str">
        <f aca="false">J5</f>
        <v>Electronics</v>
      </c>
      <c r="Q5" s="5" t="str">
        <f aca="false">LEFT(A5,2)&amp;"-"&amp;CHOOSE(MATCH(MID(A5,4,3),{"JAN","FEB","MAR","APR","MAY","JUN","JUL","AUG","SEP","OCT","NOV","DEC"},0),"01","02","03","04","05","06","07","08","09","10","11","12")&amp;"-2024"</f>
        <v>11-04-2024</v>
      </c>
      <c r="R5" s="5"/>
      <c r="S5" s="5"/>
    </row>
    <row r="6" customFormat="false" ht="15" hidden="false" customHeight="true" outlineLevel="0" collapsed="false">
      <c r="A6" s="7" t="s">
        <v>21</v>
      </c>
      <c r="B6" s="7" t="s">
        <v>22</v>
      </c>
      <c r="C6" s="7" t="s">
        <v>23</v>
      </c>
      <c r="D6" s="8" t="n">
        <v>70</v>
      </c>
      <c r="E6" s="8" t="n">
        <v>20</v>
      </c>
      <c r="F6" s="7"/>
      <c r="G6" s="7"/>
      <c r="H6" s="7" t="str">
        <f aca="false">PROPER(B6)</f>
        <v>Backpack</v>
      </c>
      <c r="I6" s="7" t="str">
        <f aca="false">PROPER(C6)</f>
        <v>North Face</v>
      </c>
      <c r="J6" s="7" t="str">
        <f aca="false">IF(F6="Electroni","Electronics",IF(F6="","Unknown",F6))</f>
        <v>Unknown</v>
      </c>
      <c r="K6" s="7" t="n">
        <f aca="false">IF(D6="","missing",D6)</f>
        <v>70</v>
      </c>
      <c r="L6" s="8" t="str">
        <f aca="false">PROPER(A6)</f>
        <v>22-May-Us</v>
      </c>
      <c r="M6" s="8" t="str">
        <f aca="false">RIGHT(A6,2)</f>
        <v>US</v>
      </c>
      <c r="N6" s="7" t="str">
        <f aca="false">LEFT(A6,6)</f>
        <v>22-MAY</v>
      </c>
      <c r="O6" s="7" t="str">
        <f aca="false">H6&amp;" "&amp;I6</f>
        <v>Backpack North Face</v>
      </c>
      <c r="P6" s="7" t="str">
        <f aca="false">J6</f>
        <v>Unknown</v>
      </c>
      <c r="Q6" s="7" t="str">
        <f aca="false">LEFT(A6,2)&amp;"-"&amp;CHOOSE(MATCH(MID(A6,4,3),{"JAN","FEB","MAR","APR","MAY","JUN","JUL","AUG","SEP","OCT","NOV","DEC"},0),"01","02","03","04","05","06","07","08","09","10","11","12")&amp;"-2024"</f>
        <v>22-05-2024</v>
      </c>
      <c r="R6" s="7"/>
      <c r="S6" s="7"/>
    </row>
    <row r="7" customFormat="false" ht="15" hidden="false" customHeight="true" outlineLevel="0" collapsed="false">
      <c r="A7" s="5" t="s">
        <v>24</v>
      </c>
      <c r="B7" s="5" t="s">
        <v>25</v>
      </c>
      <c r="C7" s="5" t="s">
        <v>26</v>
      </c>
      <c r="D7" s="6"/>
      <c r="E7" s="6" t="n">
        <v>45</v>
      </c>
      <c r="F7" s="5" t="s">
        <v>27</v>
      </c>
      <c r="G7" s="5"/>
      <c r="H7" s="5" t="str">
        <f aca="false">PROPER(B7)</f>
        <v>Headphones</v>
      </c>
      <c r="I7" s="5" t="str">
        <f aca="false">PROPER(C7)</f>
        <v>Sony</v>
      </c>
      <c r="J7" s="5" t="str">
        <f aca="false">IF(F7="Electroni","Electronics",IF(F7="","Unknown",F7))</f>
        <v>Electronics</v>
      </c>
      <c r="K7" s="5" t="str">
        <f aca="false">IF(D7="","missing",D7)</f>
        <v>missing</v>
      </c>
      <c r="L7" s="6" t="str">
        <f aca="false">PROPER(A7)</f>
        <v>07-Jun-Uk</v>
      </c>
      <c r="M7" s="6" t="str">
        <f aca="false">RIGHT(A7,2)</f>
        <v>UK</v>
      </c>
      <c r="N7" s="5" t="str">
        <f aca="false">LEFT(A7,6)</f>
        <v>07-JUN</v>
      </c>
      <c r="O7" s="5" t="str">
        <f aca="false">H7&amp;" "&amp;I7</f>
        <v>Headphones Sony</v>
      </c>
      <c r="P7" s="5" t="str">
        <f aca="false">J7</f>
        <v>Electronics</v>
      </c>
      <c r="Q7" s="5" t="str">
        <f aca="false">LEFT(A7,2)&amp;"-"&amp;CHOOSE(MATCH(MID(A7,4,3),{"JAN","FEB","MAR","APR","MAY","JUN","JUL","AUG","SEP","OCT","NOV","DEC"},0),"01","02","03","04","05","06","07","08","09","10","11","12")&amp;"-2024"</f>
        <v>07-06-2024</v>
      </c>
      <c r="R7" s="5"/>
      <c r="S7" s="5" t="s">
        <v>108</v>
      </c>
    </row>
    <row r="8" customFormat="false" ht="15" hidden="false" customHeight="true" outlineLevel="0" collapsed="false">
      <c r="A8" s="7" t="s">
        <v>28</v>
      </c>
      <c r="B8" s="7" t="s">
        <v>29</v>
      </c>
      <c r="C8" s="7" t="s">
        <v>30</v>
      </c>
      <c r="D8" s="8" t="n">
        <v>30</v>
      </c>
      <c r="E8" s="8" t="n">
        <v>5</v>
      </c>
      <c r="F8" s="7" t="s">
        <v>13</v>
      </c>
      <c r="G8" s="7"/>
      <c r="H8" s="7" t="str">
        <f aca="false">PROPER(B8)</f>
        <v>T-Shirt</v>
      </c>
      <c r="I8" s="7" t="str">
        <f aca="false">PROPER(C8)</f>
        <v>Adidas</v>
      </c>
      <c r="J8" s="7" t="str">
        <f aca="false">IF(F8="Electroni","Electronics",IF(F8="","Unknown",F8))</f>
        <v>Fashion</v>
      </c>
      <c r="K8" s="7" t="n">
        <f aca="false">IF(D8="","missing",D8)</f>
        <v>30</v>
      </c>
      <c r="L8" s="8" t="str">
        <f aca="false">PROPER(A8)</f>
        <v>19-Jul-Uk</v>
      </c>
      <c r="M8" s="8" t="str">
        <f aca="false">RIGHT(A8,2)</f>
        <v>UK</v>
      </c>
      <c r="N8" s="7" t="str">
        <f aca="false">LEFT(A8,6)</f>
        <v>19-JUL</v>
      </c>
      <c r="O8" s="7" t="str">
        <f aca="false">H8&amp;" "&amp;I8</f>
        <v>T-Shirt Adidas</v>
      </c>
      <c r="P8" s="7" t="str">
        <f aca="false">J8</f>
        <v>Fashion</v>
      </c>
      <c r="Q8" s="7" t="str">
        <f aca="false">LEFT(A8,2)&amp;"-"&amp;CHOOSE(MATCH(MID(A8,4,3),{"JAN","FEB","MAR","APR","MAY","JUN","JUL","AUG","SEP","OCT","NOV","DEC"},0),"01","02","03","04","05","06","07","08","09","10","11","12")&amp;"-2024"</f>
        <v>19-07-2024</v>
      </c>
      <c r="R8" s="7"/>
      <c r="S8" s="7"/>
    </row>
    <row r="9" customFormat="false" ht="15" hidden="false" customHeight="true" outlineLevel="0" collapsed="false">
      <c r="A9" s="5" t="s">
        <v>31</v>
      </c>
      <c r="B9" s="5" t="s">
        <v>32</v>
      </c>
      <c r="C9" s="5" t="s">
        <v>33</v>
      </c>
      <c r="D9" s="6" t="n">
        <v>90</v>
      </c>
      <c r="E9" s="6" t="n">
        <v>35</v>
      </c>
      <c r="F9" s="5" t="s">
        <v>17</v>
      </c>
      <c r="G9" s="5"/>
      <c r="H9" s="5" t="str">
        <f aca="false">PROPER(B9)</f>
        <v>Blender</v>
      </c>
      <c r="I9" s="5" t="str">
        <f aca="false">PROPER(C9)</f>
        <v>Ninja</v>
      </c>
      <c r="J9" s="5" t="str">
        <f aca="false">IF(F9="Electroni","Electronics",IF(F9="","Unknown",F9))</f>
        <v>Kitchen</v>
      </c>
      <c r="K9" s="5" t="n">
        <f aca="false">IF(D9="","missing",D9)</f>
        <v>90</v>
      </c>
      <c r="L9" s="6" t="str">
        <f aca="false">PROPER(A9)</f>
        <v>23-Aug-Uk</v>
      </c>
      <c r="M9" s="6" t="str">
        <f aca="false">RIGHT(A9,2)</f>
        <v>UK</v>
      </c>
      <c r="N9" s="5" t="str">
        <f aca="false">LEFT(A9,6)</f>
        <v>23-AUG</v>
      </c>
      <c r="O9" s="5" t="str">
        <f aca="false">H9&amp;" "&amp;I9</f>
        <v>Blender Ninja</v>
      </c>
      <c r="P9" s="5" t="str">
        <f aca="false">J9</f>
        <v>Kitchen</v>
      </c>
      <c r="Q9" s="5" t="str">
        <f aca="false">LEFT(A9,2)&amp;"-"&amp;CHOOSE(MATCH(MID(A9,4,3),{"JAN","FEB","MAR","APR","MAY","JUN","JUL","AUG","SEP","OCT","NOV","DEC"},0),"01","02","03","04","05","06","07","08","09","10","11","12")&amp;"-2024"</f>
        <v>23-08-2024</v>
      </c>
      <c r="R9" s="5"/>
      <c r="S9" s="5" t="n">
        <f aca="false">SUMIF(P2:P35,"Fashion",K2:K35)</f>
        <v>370</v>
      </c>
    </row>
    <row r="10" customFormat="false" ht="15" hidden="false" customHeight="true" outlineLevel="0" collapsed="false">
      <c r="A10" s="7" t="s">
        <v>34</v>
      </c>
      <c r="B10" s="7" t="s">
        <v>35</v>
      </c>
      <c r="C10" s="7" t="s">
        <v>36</v>
      </c>
      <c r="D10" s="8" t="n">
        <v>500</v>
      </c>
      <c r="E10" s="8" t="n">
        <v>50</v>
      </c>
      <c r="F10" s="7" t="s">
        <v>9</v>
      </c>
      <c r="G10" s="7"/>
      <c r="H10" s="7" t="str">
        <f aca="false">PROPER(B10)</f>
        <v>Tablet</v>
      </c>
      <c r="I10" s="7" t="str">
        <f aca="false">PROPER(C10)</f>
        <v>Apple</v>
      </c>
      <c r="J10" s="7" t="str">
        <f aca="false">IF(F10="Electroni","Electronics",IF(F10="","Unknown",F10))</f>
        <v>Electronics</v>
      </c>
      <c r="K10" s="7" t="n">
        <f aca="false">IF(D10="","missing",D10)</f>
        <v>500</v>
      </c>
      <c r="L10" s="8" t="str">
        <f aca="false">PROPER(A10)</f>
        <v>05-Sep-Uk</v>
      </c>
      <c r="M10" s="8" t="str">
        <f aca="false">RIGHT(A10,2)</f>
        <v>UK</v>
      </c>
      <c r="N10" s="7" t="str">
        <f aca="false">LEFT(A10,6)</f>
        <v>05-SEP</v>
      </c>
      <c r="O10" s="7" t="str">
        <f aca="false">H10&amp;" "&amp;I10</f>
        <v>Tablet Apple</v>
      </c>
      <c r="P10" s="7" t="str">
        <f aca="false">J10</f>
        <v>Electronics</v>
      </c>
      <c r="Q10" s="7" t="str">
        <f aca="false">LEFT(A10,2)&amp;"-"&amp;CHOOSE(MATCH(MID(A10,4,3),{"JAN","FEB","MAR","APR","MAY","JUN","JUL","AUG","SEP","OCT","NOV","DEC"},0),"01","02","03","04","05","06","07","08","09","10","11","12")&amp;"-2024"</f>
        <v>05-09-2024</v>
      </c>
      <c r="R10" s="7"/>
      <c r="S10" s="7"/>
    </row>
    <row r="11" customFormat="false" ht="15" hidden="false" customHeight="true" outlineLevel="0" collapsed="false">
      <c r="A11" s="5" t="s">
        <v>37</v>
      </c>
      <c r="B11" s="5" t="s">
        <v>38</v>
      </c>
      <c r="C11" s="5" t="s">
        <v>39</v>
      </c>
      <c r="D11" s="6" t="n">
        <v>130</v>
      </c>
      <c r="E11" s="6" t="n">
        <v>10</v>
      </c>
      <c r="F11" s="5" t="s">
        <v>40</v>
      </c>
      <c r="G11" s="5"/>
      <c r="H11" s="5" t="str">
        <f aca="false">PROPER(B11)</f>
        <v>Hiking Boots</v>
      </c>
      <c r="I11" s="5" t="str">
        <f aca="false">PROPER(C11)</f>
        <v>Timberland</v>
      </c>
      <c r="J11" s="5" t="str">
        <f aca="false">IF(F11="Electroni","Electronics",IF(F11="","Unknown",F11))</f>
        <v>Outdoor</v>
      </c>
      <c r="K11" s="5" t="n">
        <f aca="false">IF(D11="","missing",D11)</f>
        <v>130</v>
      </c>
      <c r="L11" s="6" t="str">
        <f aca="false">PROPER(A11)</f>
        <v>14-Oct-Uk</v>
      </c>
      <c r="M11" s="6" t="str">
        <f aca="false">RIGHT(A11,2)</f>
        <v>UK</v>
      </c>
      <c r="N11" s="5" t="str">
        <f aca="false">LEFT(A11,6)</f>
        <v>14-OCT</v>
      </c>
      <c r="O11" s="5" t="str">
        <f aca="false">H11&amp;" "&amp;I11</f>
        <v>Hiking Boots Timberland</v>
      </c>
      <c r="P11" s="5" t="str">
        <f aca="false">J11</f>
        <v>Outdoor</v>
      </c>
      <c r="Q11" s="5" t="str">
        <f aca="false">LEFT(A11,2)&amp;"-"&amp;CHOOSE(MATCH(MID(A11,4,3),{"JAN","FEB","MAR","APR","MAY","JUN","JUL","AUG","SEP","OCT","NOV","DEC"},0),"01","02","03","04","05","06","07","08","09","10","11","12")&amp;"-2024"</f>
        <v>14-10-2024</v>
      </c>
      <c r="R11" s="5"/>
      <c r="S11" s="5"/>
    </row>
    <row r="12" customFormat="false" ht="15" hidden="false" customHeight="true" outlineLevel="0" collapsed="false">
      <c r="A12" s="7" t="s">
        <v>41</v>
      </c>
      <c r="B12" s="7" t="s">
        <v>42</v>
      </c>
      <c r="C12" s="7" t="s">
        <v>43</v>
      </c>
      <c r="D12" s="8" t="n">
        <v>950</v>
      </c>
      <c r="E12" s="8" t="n">
        <v>25</v>
      </c>
      <c r="F12" s="7" t="s">
        <v>9</v>
      </c>
      <c r="G12" s="7"/>
      <c r="H12" s="7" t="str">
        <f aca="false">PROPER(B12)</f>
        <v>Laptop</v>
      </c>
      <c r="I12" s="7" t="str">
        <f aca="false">PROPER(C12)</f>
        <v>Hp</v>
      </c>
      <c r="J12" s="7" t="str">
        <f aca="false">IF(F12="Electroni","Electronics",IF(F12="","Unknown",F12))</f>
        <v>Electronics</v>
      </c>
      <c r="K12" s="7" t="n">
        <f aca="false">IF(D12="","missing",D12)</f>
        <v>950</v>
      </c>
      <c r="L12" s="8" t="str">
        <f aca="false">PROPER(A12)</f>
        <v>17-Jun-In</v>
      </c>
      <c r="M12" s="8" t="str">
        <f aca="false">RIGHT(A12,2)</f>
        <v>IN</v>
      </c>
      <c r="N12" s="7" t="str">
        <f aca="false">LEFT(A12,6)</f>
        <v>17-JUN</v>
      </c>
      <c r="O12" s="7" t="str">
        <f aca="false">H12&amp;" "&amp;I12</f>
        <v>Laptop Hp</v>
      </c>
      <c r="P12" s="7" t="str">
        <f aca="false">J12</f>
        <v>Electronics</v>
      </c>
      <c r="Q12" s="7" t="str">
        <f aca="false">LEFT(A12,2)&amp;"-"&amp;CHOOSE(MATCH(MID(A12,4,3),{"JAN","FEB","MAR","APR","MAY","JUN","JUL","AUG","SEP","OCT","NOV","DEC"},0),"01","02","03","04","05","06","07","08","09","10","11","12")&amp;"-2024"</f>
        <v>17-06-2024</v>
      </c>
      <c r="R12" s="7"/>
      <c r="S12" s="7"/>
    </row>
    <row r="13" customFormat="false" ht="15" hidden="false" customHeight="true" outlineLevel="0" collapsed="false">
      <c r="A13" s="5" t="s">
        <v>44</v>
      </c>
      <c r="B13" s="5" t="s">
        <v>11</v>
      </c>
      <c r="C13" s="5" t="s">
        <v>30</v>
      </c>
      <c r="D13" s="6" t="n">
        <v>90</v>
      </c>
      <c r="E13" s="6" t="n">
        <v>40</v>
      </c>
      <c r="F13" s="5"/>
      <c r="G13" s="5"/>
      <c r="H13" s="5" t="str">
        <f aca="false">PROPER(B13)</f>
        <v>Sneakers</v>
      </c>
      <c r="I13" s="5" t="str">
        <f aca="false">PROPER(C13)</f>
        <v>Adidas</v>
      </c>
      <c r="J13" s="5" t="str">
        <f aca="false">IF(F13="Electroni","Electronics",IF(F13="","Unknown",F13))</f>
        <v>Unknown</v>
      </c>
      <c r="K13" s="5" t="n">
        <f aca="false">IF(D13="","missing",D13)</f>
        <v>90</v>
      </c>
      <c r="L13" s="6" t="str">
        <f aca="false">PROPER(A13)</f>
        <v>25-Nov-Au</v>
      </c>
      <c r="M13" s="6" t="str">
        <f aca="false">RIGHT(A13,2)</f>
        <v>AU</v>
      </c>
      <c r="N13" s="5" t="str">
        <f aca="false">LEFT(A13,6)</f>
        <v>25-NOV</v>
      </c>
      <c r="O13" s="5" t="str">
        <f aca="false">H13&amp;" "&amp;I13</f>
        <v>Sneakers Adidas</v>
      </c>
      <c r="P13" s="5" t="str">
        <f aca="false">J13</f>
        <v>Unknown</v>
      </c>
      <c r="Q13" s="5" t="str">
        <f aca="false">LEFT(A13,2)&amp;"-"&amp;CHOOSE(MATCH(MID(A13,4,3),{"JAN","FEB","MAR","APR","MAY","JUN","JUL","AUG","SEP","OCT","NOV","DEC"},0),"01","02","03","04","05","06","07","08","09","10","11","12")&amp;"-2024"</f>
        <v>25-11-2024</v>
      </c>
      <c r="R13" s="5"/>
      <c r="S13" s="5"/>
    </row>
    <row r="14" customFormat="false" ht="15" hidden="false" customHeight="true" outlineLevel="0" collapsed="false">
      <c r="A14" s="7" t="s">
        <v>45</v>
      </c>
      <c r="B14" s="7" t="s">
        <v>15</v>
      </c>
      <c r="C14" s="7" t="s">
        <v>46</v>
      </c>
      <c r="D14" s="8" t="n">
        <v>120</v>
      </c>
      <c r="E14" s="8" t="n">
        <v>35</v>
      </c>
      <c r="F14" s="7"/>
      <c r="G14" s="7"/>
      <c r="H14" s="7" t="str">
        <f aca="false">PROPER(B14)</f>
        <v>Coffee Maker</v>
      </c>
      <c r="I14" s="7" t="str">
        <f aca="false">PROPER(C14)</f>
        <v>Nespresso</v>
      </c>
      <c r="J14" s="7" t="str">
        <f aca="false">IF(F14="Electroni","Electronics",IF(F14="","Unknown",F14))</f>
        <v>Unknown</v>
      </c>
      <c r="K14" s="7" t="n">
        <f aca="false">IF(D14="","missing",D14)</f>
        <v>120</v>
      </c>
      <c r="L14" s="8" t="str">
        <f aca="false">PROPER(A14)</f>
        <v>08-Dec-De</v>
      </c>
      <c r="M14" s="8" t="str">
        <f aca="false">RIGHT(A14,2)</f>
        <v>DE</v>
      </c>
      <c r="N14" s="7" t="str">
        <f aca="false">LEFT(A14,6)</f>
        <v>08-DEC</v>
      </c>
      <c r="O14" s="7" t="str">
        <f aca="false">H14&amp;" "&amp;I14</f>
        <v>Coffee Maker Nespresso</v>
      </c>
      <c r="P14" s="7" t="str">
        <f aca="false">J14</f>
        <v>Unknown</v>
      </c>
      <c r="Q14" s="7" t="str">
        <f aca="false">LEFT(A14,2)&amp;"-"&amp;CHOOSE(MATCH(MID(A14,4,3),{"JAN","FEB","MAR","APR","MAY","JUN","JUL","AUG","SEP","OCT","NOV","DEC"},0),"01","02","03","04","05","06","07","08","09","10","11","12")&amp;"-2024"</f>
        <v>08-12-2024</v>
      </c>
      <c r="R14" s="7"/>
      <c r="S14" s="7"/>
    </row>
    <row r="15" customFormat="false" ht="15" hidden="false" customHeight="true" outlineLevel="0" collapsed="false">
      <c r="A15" s="5" t="s">
        <v>47</v>
      </c>
      <c r="B15" s="5" t="s">
        <v>48</v>
      </c>
      <c r="C15" s="5" t="s">
        <v>49</v>
      </c>
      <c r="D15" s="6" t="n">
        <v>150</v>
      </c>
      <c r="E15" s="6" t="n">
        <v>15</v>
      </c>
      <c r="F15" s="5" t="s">
        <v>27</v>
      </c>
      <c r="G15" s="5"/>
      <c r="H15" s="5" t="str">
        <f aca="false">PROPER(B15)</f>
        <v>Smartwatch</v>
      </c>
      <c r="I15" s="5" t="str">
        <f aca="false">PROPER(C15)</f>
        <v>Fitbit</v>
      </c>
      <c r="J15" s="5" t="str">
        <f aca="false">IF(F15="Electroni","Electronics",IF(F15="","Unknown",F15))</f>
        <v>Electronics</v>
      </c>
      <c r="K15" s="5" t="n">
        <f aca="false">IF(D15="","missing",D15)</f>
        <v>150</v>
      </c>
      <c r="L15" s="6" t="str">
        <f aca="false">PROPER(A15)</f>
        <v>18-Feb-Ca</v>
      </c>
      <c r="M15" s="6" t="str">
        <f aca="false">RIGHT(A15,2)</f>
        <v>CA</v>
      </c>
      <c r="N15" s="5" t="str">
        <f aca="false">LEFT(A15,6)</f>
        <v>18-FEB</v>
      </c>
      <c r="O15" s="5" t="str">
        <f aca="false">H15&amp;" "&amp;I15</f>
        <v>Smartwatch Fitbit</v>
      </c>
      <c r="P15" s="5" t="str">
        <f aca="false">J15</f>
        <v>Electronics</v>
      </c>
      <c r="Q15" s="5" t="str">
        <f aca="false">LEFT(A15,2)&amp;"-"&amp;CHOOSE(MATCH(MID(A15,4,3),{"JAN","FEB","MAR","APR","MAY","JUN","JUL","AUG","SEP","OCT","NOV","DEC"},0),"01","02","03","04","05","06","07","08","09","10","11","12")&amp;"-2024"</f>
        <v>18-02-2024</v>
      </c>
      <c r="R15" s="5"/>
      <c r="S15" s="5"/>
    </row>
    <row r="16" customFormat="false" ht="15" hidden="false" customHeight="true" outlineLevel="0" collapsed="false">
      <c r="A16" s="7" t="s">
        <v>50</v>
      </c>
      <c r="B16" s="7" t="s">
        <v>51</v>
      </c>
      <c r="C16" s="7" t="s">
        <v>52</v>
      </c>
      <c r="D16" s="8" t="n">
        <v>250</v>
      </c>
      <c r="E16" s="8" t="n">
        <v>20</v>
      </c>
      <c r="F16" s="7" t="s">
        <v>27</v>
      </c>
      <c r="G16" s="7"/>
      <c r="H16" s="7" t="str">
        <f aca="false">PROPER(B16)</f>
        <v>Headphones</v>
      </c>
      <c r="I16" s="7" t="str">
        <f aca="false">PROPER(C16)</f>
        <v>Bose</v>
      </c>
      <c r="J16" s="7" t="str">
        <f aca="false">IF(F16="Electroni","Electronics",IF(F16="","Unknown",F16))</f>
        <v>Electronics</v>
      </c>
      <c r="K16" s="7" t="n">
        <f aca="false">IF(D16="","missing",D16)</f>
        <v>250</v>
      </c>
      <c r="L16" s="8" t="str">
        <f aca="false">PROPER(A16)</f>
        <v>16-Apr-Es</v>
      </c>
      <c r="M16" s="8" t="str">
        <f aca="false">RIGHT(A16,2)</f>
        <v>ES</v>
      </c>
      <c r="N16" s="7" t="str">
        <f aca="false">LEFT(A16,6)</f>
        <v>16-APR</v>
      </c>
      <c r="O16" s="7" t="str">
        <f aca="false">H16&amp;" "&amp;I16</f>
        <v>Headphones Bose</v>
      </c>
      <c r="P16" s="7" t="str">
        <f aca="false">J16</f>
        <v>Electronics</v>
      </c>
      <c r="Q16" s="7" t="str">
        <f aca="false">LEFT(A16,2)&amp;"-"&amp;CHOOSE(MATCH(MID(A16,4,3),{"JAN","FEB","MAR","APR","MAY","JUN","JUL","AUG","SEP","OCT","NOV","DEC"},0),"01","02","03","04","05","06","07","08","09","10","11","12")&amp;"-2024"</f>
        <v>16-04-2024</v>
      </c>
      <c r="R16" s="7"/>
      <c r="S16" s="7"/>
    </row>
    <row r="17" customFormat="false" ht="15" hidden="false" customHeight="true" outlineLevel="0" collapsed="false">
      <c r="A17" s="5" t="s">
        <v>53</v>
      </c>
      <c r="B17" s="5" t="s">
        <v>54</v>
      </c>
      <c r="C17" s="5" t="s">
        <v>55</v>
      </c>
      <c r="D17" s="6" t="n">
        <v>50</v>
      </c>
      <c r="E17" s="6" t="n">
        <v>35</v>
      </c>
      <c r="F17" s="5" t="s">
        <v>56</v>
      </c>
      <c r="G17" s="5"/>
      <c r="H17" s="5" t="str">
        <f aca="false">PROPER(B17)</f>
        <v>Laptop Bag</v>
      </c>
      <c r="I17" s="5" t="str">
        <f aca="false">PROPER(C17)</f>
        <v>Samsonite</v>
      </c>
      <c r="J17" s="5" t="str">
        <f aca="false">IF(F17="Electroni","Electronics",IF(F17="","Unknown",F17))</f>
        <v>Accessories</v>
      </c>
      <c r="K17" s="5" t="n">
        <f aca="false">IF(D17="","missing",D17)</f>
        <v>50</v>
      </c>
      <c r="L17" s="6" t="str">
        <f aca="false">PROPER(A17)</f>
        <v>21-Aug-Ca</v>
      </c>
      <c r="M17" s="6" t="str">
        <f aca="false">RIGHT(A17,2)</f>
        <v>CA</v>
      </c>
      <c r="N17" s="5" t="str">
        <f aca="false">LEFT(A17,6)</f>
        <v>21-AUG</v>
      </c>
      <c r="O17" s="5" t="str">
        <f aca="false">H17&amp;" "&amp;I17</f>
        <v>Laptop Bag Samsonite</v>
      </c>
      <c r="P17" s="5" t="str">
        <f aca="false">J17</f>
        <v>Accessories</v>
      </c>
      <c r="Q17" s="5" t="str">
        <f aca="false">LEFT(A17,2)&amp;"-"&amp;CHOOSE(MATCH(MID(A17,4,3),{"JAN","FEB","MAR","APR","MAY","JUN","JUL","AUG","SEP","OCT","NOV","DEC"},0),"01","02","03","04","05","06","07","08","09","10","11","12")&amp;"-2024"</f>
        <v>21-08-2024</v>
      </c>
      <c r="R17" s="5"/>
      <c r="S17" s="5"/>
    </row>
    <row r="18" customFormat="false" ht="15" hidden="false" customHeight="true" outlineLevel="0" collapsed="false">
      <c r="A18" s="7" t="s">
        <v>57</v>
      </c>
      <c r="B18" s="7" t="s">
        <v>48</v>
      </c>
      <c r="C18" s="7" t="s">
        <v>58</v>
      </c>
      <c r="D18" s="8" t="n">
        <v>160</v>
      </c>
      <c r="E18" s="8" t="n">
        <v>15</v>
      </c>
      <c r="F18" s="7" t="s">
        <v>27</v>
      </c>
      <c r="G18" s="7"/>
      <c r="H18" s="7" t="str">
        <f aca="false">PROPER(B18)</f>
        <v>Smartwatch</v>
      </c>
      <c r="I18" s="7" t="str">
        <f aca="false">PROPER(C18)</f>
        <v>Huawei</v>
      </c>
      <c r="J18" s="7" t="str">
        <f aca="false">IF(F18="Electroni","Electronics",IF(F18="","Unknown",F18))</f>
        <v>Electronics</v>
      </c>
      <c r="K18" s="7" t="n">
        <f aca="false">IF(D18="","missing",D18)</f>
        <v>160</v>
      </c>
      <c r="L18" s="8" t="str">
        <f aca="false">PROPER(A18)</f>
        <v>20-Aug-Cn</v>
      </c>
      <c r="M18" s="8" t="str">
        <f aca="false">RIGHT(A18,2)</f>
        <v>CN</v>
      </c>
      <c r="N18" s="7" t="str">
        <f aca="false">LEFT(A18,6)</f>
        <v>20-AUG</v>
      </c>
      <c r="O18" s="7" t="str">
        <f aca="false">H18&amp;" "&amp;I18</f>
        <v>Smartwatch Huawei</v>
      </c>
      <c r="P18" s="7" t="str">
        <f aca="false">J18</f>
        <v>Electronics</v>
      </c>
      <c r="Q18" s="7" t="str">
        <f aca="false">LEFT(A18,2)&amp;"-"&amp;CHOOSE(MATCH(MID(A18,4,3),{"JAN","FEB","MAR","APR","MAY","JUN","JUL","AUG","SEP","OCT","NOV","DEC"},0),"01","02","03","04","05","06","07","08","09","10","11","12")&amp;"-2024"</f>
        <v>20-08-2024</v>
      </c>
      <c r="R18" s="7"/>
      <c r="S18" s="7"/>
    </row>
    <row r="19" customFormat="false" ht="15" hidden="false" customHeight="true" outlineLevel="0" collapsed="false">
      <c r="A19" s="5" t="s">
        <v>59</v>
      </c>
      <c r="B19" s="5" t="s">
        <v>7</v>
      </c>
      <c r="C19" s="5" t="s">
        <v>60</v>
      </c>
      <c r="D19" s="6" t="n">
        <v>980</v>
      </c>
      <c r="E19" s="6" t="n">
        <v>10</v>
      </c>
      <c r="F19" s="5" t="s">
        <v>9</v>
      </c>
      <c r="G19" s="5"/>
      <c r="H19" s="5" t="str">
        <f aca="false">PROPER(B19)</f>
        <v>Laptop</v>
      </c>
      <c r="I19" s="5" t="str">
        <f aca="false">PROPER(C19)</f>
        <v>Asus</v>
      </c>
      <c r="J19" s="5" t="str">
        <f aca="false">IF(F19="Electroni","Electronics",IF(F19="","Unknown",F19))</f>
        <v>Electronics</v>
      </c>
      <c r="K19" s="5" t="n">
        <f aca="false">IF(D19="","missing",D19)</f>
        <v>980</v>
      </c>
      <c r="L19" s="6" t="str">
        <f aca="false">PROPER(A19)</f>
        <v>27-Jan-It</v>
      </c>
      <c r="M19" s="6" t="str">
        <f aca="false">RIGHT(A19,2)</f>
        <v>IT</v>
      </c>
      <c r="N19" s="5" t="str">
        <f aca="false">LEFT(A19,6)</f>
        <v>27-JAN</v>
      </c>
      <c r="O19" s="5" t="str">
        <f aca="false">H19&amp;" "&amp;I19</f>
        <v>Laptop Asus</v>
      </c>
      <c r="P19" s="5" t="str">
        <f aca="false">J19</f>
        <v>Electronics</v>
      </c>
      <c r="Q19" s="5" t="str">
        <f aca="false">LEFT(A19,2)&amp;"-"&amp;CHOOSE(MATCH(MID(A19,4,3),{"JAN","FEB","MAR","APR","MAY","JUN","JUL","AUG","SEP","OCT","NOV","DEC"},0),"01","02","03","04","05","06","07","08","09","10","11","12")&amp;"-2024"</f>
        <v>27-01-2024</v>
      </c>
      <c r="R19" s="5"/>
      <c r="S19" s="5"/>
    </row>
    <row r="20" customFormat="false" ht="15" hidden="false" customHeight="true" outlineLevel="0" collapsed="false">
      <c r="A20" s="7" t="s">
        <v>61</v>
      </c>
      <c r="B20" s="7" t="s">
        <v>62</v>
      </c>
      <c r="C20" s="7" t="s">
        <v>63</v>
      </c>
      <c r="D20" s="8" t="n">
        <v>150</v>
      </c>
      <c r="E20" s="8" t="n">
        <v>15</v>
      </c>
      <c r="F20" s="7" t="s">
        <v>13</v>
      </c>
      <c r="G20" s="7"/>
      <c r="H20" s="7" t="str">
        <f aca="false">PROPER(B20)</f>
        <v>Sunglasses</v>
      </c>
      <c r="I20" s="7" t="str">
        <f aca="false">PROPER(C20)</f>
        <v>Oakley</v>
      </c>
      <c r="J20" s="7" t="str">
        <f aca="false">IF(F20="Electroni","Electronics",IF(F20="","Unknown",F20))</f>
        <v>Fashion</v>
      </c>
      <c r="K20" s="7" t="n">
        <f aca="false">IF(D20="","missing",D20)</f>
        <v>150</v>
      </c>
      <c r="L20" s="8" t="str">
        <f aca="false">PROPER(A20)</f>
        <v>01-Mar-Uk</v>
      </c>
      <c r="M20" s="8" t="str">
        <f aca="false">RIGHT(A20,2)</f>
        <v>UK</v>
      </c>
      <c r="N20" s="7" t="str">
        <f aca="false">LEFT(A20,6)</f>
        <v>01-MAR</v>
      </c>
      <c r="O20" s="7" t="str">
        <f aca="false">H20&amp;" "&amp;I20</f>
        <v>Sunglasses Oakley</v>
      </c>
      <c r="P20" s="7" t="str">
        <f aca="false">J20</f>
        <v>Fashion</v>
      </c>
      <c r="Q20" s="7" t="str">
        <f aca="false">LEFT(A20,2)&amp;"-"&amp;CHOOSE(MATCH(MID(A20,4,3),{"JAN","FEB","MAR","APR","MAY","JUN","JUL","AUG","SEP","OCT","NOV","DEC"},0),"01","02","03","04","05","06","07","08","09","10","11","12")&amp;"-2024"</f>
        <v>01-03-2024</v>
      </c>
      <c r="R20" s="7"/>
      <c r="S20" s="7"/>
    </row>
    <row r="21" customFormat="false" ht="15" hidden="false" customHeight="true" outlineLevel="0" collapsed="false">
      <c r="A21" s="5" t="s">
        <v>64</v>
      </c>
      <c r="B21" s="5" t="s">
        <v>65</v>
      </c>
      <c r="C21" s="5" t="s">
        <v>66</v>
      </c>
      <c r="D21" s="6"/>
      <c r="E21" s="6" t="n">
        <v>10</v>
      </c>
      <c r="F21" s="5" t="s">
        <v>40</v>
      </c>
      <c r="G21" s="5"/>
      <c r="H21" s="5" t="str">
        <f aca="false">PROPER(B21)</f>
        <v>Camping Tent</v>
      </c>
      <c r="I21" s="5" t="str">
        <f aca="false">PROPER(C21)</f>
        <v>Coleman</v>
      </c>
      <c r="J21" s="5" t="str">
        <f aca="false">IF(F21="Electroni","Electronics",IF(F21="","Unknown",F21))</f>
        <v>Outdoor</v>
      </c>
      <c r="K21" s="5" t="str">
        <f aca="false">IF(D21="","missing",D21)</f>
        <v>missing</v>
      </c>
      <c r="L21" s="6" t="str">
        <f aca="false">PROPER(A21)</f>
        <v>14-Aug-Us</v>
      </c>
      <c r="M21" s="6" t="str">
        <f aca="false">RIGHT(A21,2)</f>
        <v>US</v>
      </c>
      <c r="N21" s="5" t="str">
        <f aca="false">LEFT(A21,6)</f>
        <v>14-AUG</v>
      </c>
      <c r="O21" s="5" t="str">
        <f aca="false">H21&amp;" "&amp;I21</f>
        <v>Camping Tent Coleman</v>
      </c>
      <c r="P21" s="5" t="str">
        <f aca="false">J21</f>
        <v>Outdoor</v>
      </c>
      <c r="Q21" s="5" t="str">
        <f aca="false">LEFT(A21,2)&amp;"-"&amp;CHOOSE(MATCH(MID(A21,4,3),{"JAN","FEB","MAR","APR","MAY","JUN","JUL","AUG","SEP","OCT","NOV","DEC"},0),"01","02","03","04","05","06","07","08","09","10","11","12")&amp;"-2024"</f>
        <v>14-08-2024</v>
      </c>
      <c r="R21" s="5"/>
      <c r="S21" s="5"/>
    </row>
    <row r="22" customFormat="false" ht="15" hidden="false" customHeight="true" outlineLevel="0" collapsed="false">
      <c r="A22" s="7" t="s">
        <v>67</v>
      </c>
      <c r="B22" s="7" t="s">
        <v>68</v>
      </c>
      <c r="C22" s="7" t="s">
        <v>69</v>
      </c>
      <c r="D22" s="8" t="n">
        <v>700</v>
      </c>
      <c r="E22" s="8" t="n">
        <v>50</v>
      </c>
      <c r="F22" s="7" t="s">
        <v>9</v>
      </c>
      <c r="G22" s="7"/>
      <c r="H22" s="7" t="str">
        <f aca="false">PROPER(B22)</f>
        <v>Camera</v>
      </c>
      <c r="I22" s="7" t="str">
        <f aca="false">PROPER(C22)</f>
        <v>Nikon</v>
      </c>
      <c r="J22" s="7" t="str">
        <f aca="false">IF(F22="Electroni","Electronics",IF(F22="","Unknown",F22))</f>
        <v>Electronics</v>
      </c>
      <c r="K22" s="7" t="n">
        <f aca="false">IF(D22="","missing",D22)</f>
        <v>700</v>
      </c>
      <c r="L22" s="8" t="str">
        <f aca="false">PROPER(A22)</f>
        <v>14-May-Ru</v>
      </c>
      <c r="M22" s="8" t="str">
        <f aca="false">RIGHT(A22,2)</f>
        <v>RU</v>
      </c>
      <c r="N22" s="7" t="str">
        <f aca="false">LEFT(A22,6)</f>
        <v>14-MAY</v>
      </c>
      <c r="O22" s="7" t="str">
        <f aca="false">H22&amp;" "&amp;I22</f>
        <v>Camera Nikon</v>
      </c>
      <c r="P22" s="7" t="str">
        <f aca="false">J22</f>
        <v>Electronics</v>
      </c>
      <c r="Q22" s="7" t="str">
        <f aca="false">LEFT(A22,2)&amp;"-"&amp;CHOOSE(MATCH(MID(A22,4,3),{"JAN","FEB","MAR","APR","MAY","JUN","JUL","AUG","SEP","OCT","NOV","DEC"},0),"01","02","03","04","05","06","07","08","09","10","11","12")&amp;"-2024"</f>
        <v>14-05-2024</v>
      </c>
      <c r="R22" s="7"/>
      <c r="S22" s="7"/>
    </row>
    <row r="23" customFormat="false" ht="15" hidden="false" customHeight="true" outlineLevel="0" collapsed="false">
      <c r="A23" s="5" t="s">
        <v>70</v>
      </c>
      <c r="B23" s="5" t="s">
        <v>71</v>
      </c>
      <c r="C23" s="5" t="s">
        <v>72</v>
      </c>
      <c r="D23" s="6" t="n">
        <v>80</v>
      </c>
      <c r="E23" s="6" t="n">
        <v>20</v>
      </c>
      <c r="F23" s="5" t="s">
        <v>17</v>
      </c>
      <c r="G23" s="5"/>
      <c r="H23" s="5" t="str">
        <f aca="false">PROPER(B23)</f>
        <v>Microwave</v>
      </c>
      <c r="I23" s="5" t="str">
        <f aca="false">PROPER(C23)</f>
        <v>Panasonic</v>
      </c>
      <c r="J23" s="5" t="str">
        <f aca="false">IF(F23="Electroni","Electronics",IF(F23="","Unknown",F23))</f>
        <v>Kitchen</v>
      </c>
      <c r="K23" s="5" t="n">
        <f aca="false">IF(D23="","missing",D23)</f>
        <v>80</v>
      </c>
      <c r="L23" s="6" t="str">
        <f aca="false">PROPER(A23)</f>
        <v>09-Jan-Ca</v>
      </c>
      <c r="M23" s="6" t="str">
        <f aca="false">RIGHT(A23,2)</f>
        <v>CA</v>
      </c>
      <c r="N23" s="5" t="str">
        <f aca="false">LEFT(A23,6)</f>
        <v>09-JAN</v>
      </c>
      <c r="O23" s="5" t="str">
        <f aca="false">H23&amp;" "&amp;I23</f>
        <v>Microwave Panasonic</v>
      </c>
      <c r="P23" s="5" t="str">
        <f aca="false">J23</f>
        <v>Kitchen</v>
      </c>
      <c r="Q23" s="5" t="str">
        <f aca="false">LEFT(A23,2)&amp;"-"&amp;CHOOSE(MATCH(MID(A23,4,3),{"JAN","FEB","MAR","APR","MAY","JUN","JUL","AUG","SEP","OCT","NOV","DEC"},0),"01","02","03","04","05","06","07","08","09","10","11","12")&amp;"-2024"</f>
        <v>09-01-2024</v>
      </c>
      <c r="R23" s="5"/>
      <c r="S23" s="5"/>
    </row>
    <row r="24" customFormat="false" ht="15" hidden="false" customHeight="true" outlineLevel="0" collapsed="false">
      <c r="A24" s="7" t="s">
        <v>73</v>
      </c>
      <c r="B24" s="7" t="s">
        <v>74</v>
      </c>
      <c r="C24" s="7" t="s">
        <v>75</v>
      </c>
      <c r="D24" s="8" t="n">
        <v>150</v>
      </c>
      <c r="E24" s="8" t="n">
        <v>30</v>
      </c>
      <c r="F24" s="7"/>
      <c r="G24" s="7"/>
      <c r="H24" s="7" t="str">
        <f aca="false">PROPER(B24)</f>
        <v>Fitness Tracker</v>
      </c>
      <c r="I24" s="7" t="str">
        <f aca="false">PROPER(C24)</f>
        <v>Xiaomi</v>
      </c>
      <c r="J24" s="7" t="str">
        <f aca="false">IF(F24="Electroni","Electronics",IF(F24="","Unknown",F24))</f>
        <v>Unknown</v>
      </c>
      <c r="K24" s="7" t="n">
        <f aca="false">IF(D24="","missing",D24)</f>
        <v>150</v>
      </c>
      <c r="L24" s="8" t="str">
        <f aca="false">PROPER(A24)</f>
        <v>19-Jul-Br</v>
      </c>
      <c r="M24" s="8" t="str">
        <f aca="false">RIGHT(A24,2)</f>
        <v>BR</v>
      </c>
      <c r="N24" s="7" t="str">
        <f aca="false">LEFT(A24,6)</f>
        <v>19-JUL</v>
      </c>
      <c r="O24" s="7" t="str">
        <f aca="false">H24&amp;" "&amp;I24</f>
        <v>Fitness Tracker Xiaomi</v>
      </c>
      <c r="P24" s="7" t="str">
        <f aca="false">J24</f>
        <v>Unknown</v>
      </c>
      <c r="Q24" s="7" t="str">
        <f aca="false">LEFT(A24,2)&amp;"-"&amp;CHOOSE(MATCH(MID(A24,4,3),{"JAN","FEB","MAR","APR","MAY","JUN","JUL","AUG","SEP","OCT","NOV","DEC"},0),"01","02","03","04","05","06","07","08","09","10","11","12")&amp;"-2024"</f>
        <v>19-07-2024</v>
      </c>
      <c r="R24" s="7"/>
      <c r="S24" s="7"/>
    </row>
    <row r="25" customFormat="false" ht="15" hidden="false" customHeight="true" outlineLevel="0" collapsed="false">
      <c r="A25" s="5" t="s">
        <v>53</v>
      </c>
      <c r="B25" s="5" t="s">
        <v>54</v>
      </c>
      <c r="C25" s="5" t="s">
        <v>55</v>
      </c>
      <c r="D25" s="6" t="n">
        <v>50</v>
      </c>
      <c r="E25" s="6" t="n">
        <v>35</v>
      </c>
      <c r="F25" s="5" t="s">
        <v>56</v>
      </c>
      <c r="G25" s="5"/>
      <c r="H25" s="5" t="str">
        <f aca="false">PROPER(B25)</f>
        <v>Laptop Bag</v>
      </c>
      <c r="I25" s="5" t="str">
        <f aca="false">PROPER(C25)</f>
        <v>Samsonite</v>
      </c>
      <c r="J25" s="5" t="str">
        <f aca="false">IF(F25="Electroni","Electronics",IF(F25="","Unknown",F25))</f>
        <v>Accessories</v>
      </c>
      <c r="K25" s="5" t="n">
        <f aca="false">IF(D25="","missing",D25)</f>
        <v>50</v>
      </c>
      <c r="L25" s="6" t="str">
        <f aca="false">PROPER(A25)</f>
        <v>21-Aug-Ca</v>
      </c>
      <c r="M25" s="6" t="str">
        <f aca="false">RIGHT(A25,2)</f>
        <v>CA</v>
      </c>
      <c r="N25" s="5" t="str">
        <f aca="false">LEFT(A25,6)</f>
        <v>21-AUG</v>
      </c>
      <c r="O25" s="5" t="str">
        <f aca="false">H25&amp;" "&amp;I25</f>
        <v>Laptop Bag Samsonite</v>
      </c>
      <c r="P25" s="5" t="str">
        <f aca="false">J25</f>
        <v>Accessories</v>
      </c>
      <c r="Q25" s="5" t="str">
        <f aca="false">LEFT(A25,2)&amp;"-"&amp;CHOOSE(MATCH(MID(A25,4,3),{"JAN","FEB","MAR","APR","MAY","JUN","JUL","AUG","SEP","OCT","NOV","DEC"},0),"01","02","03","04","05","06","07","08","09","10","11","12")&amp;"-2024"</f>
        <v>21-08-2024</v>
      </c>
      <c r="R25" s="5"/>
      <c r="S25" s="5"/>
    </row>
    <row r="26" customFormat="false" ht="15" hidden="false" customHeight="true" outlineLevel="0" collapsed="false">
      <c r="A26" s="7" t="s">
        <v>76</v>
      </c>
      <c r="B26" s="7" t="s">
        <v>77</v>
      </c>
      <c r="C26" s="7" t="s">
        <v>78</v>
      </c>
      <c r="D26" s="8" t="n">
        <v>800</v>
      </c>
      <c r="E26" s="8" t="n">
        <v>45</v>
      </c>
      <c r="F26" s="7" t="s">
        <v>9</v>
      </c>
      <c r="G26" s="7"/>
      <c r="H26" s="7" t="str">
        <f aca="false">PROPER(B26)</f>
        <v>Smartphone</v>
      </c>
      <c r="I26" s="7" t="str">
        <f aca="false">PROPER(C26)</f>
        <v>Google</v>
      </c>
      <c r="J26" s="7" t="str">
        <f aca="false">IF(F26="Electroni","Electronics",IF(F26="","Unknown",F26))</f>
        <v>Electronics</v>
      </c>
      <c r="K26" s="7" t="n">
        <f aca="false">IF(D26="","missing",D26)</f>
        <v>800</v>
      </c>
      <c r="L26" s="8" t="str">
        <f aca="false">PROPER(A26)</f>
        <v>29-Sep-Ca</v>
      </c>
      <c r="M26" s="8" t="str">
        <f aca="false">RIGHT(A26,2)</f>
        <v>CA</v>
      </c>
      <c r="N26" s="7" t="str">
        <f aca="false">LEFT(A26,6)</f>
        <v>29-SEP</v>
      </c>
      <c r="O26" s="7" t="str">
        <f aca="false">H26&amp;" "&amp;I26</f>
        <v>Smartphone Google</v>
      </c>
      <c r="P26" s="7" t="str">
        <f aca="false">J26</f>
        <v>Electronics</v>
      </c>
      <c r="Q26" s="7" t="str">
        <f aca="false">LEFT(A26,2)&amp;"-"&amp;CHOOSE(MATCH(MID(A26,4,3),{"JAN","FEB","MAR","APR","MAY","JUN","JUL","AUG","SEP","OCT","NOV","DEC"},0),"01","02","03","04","05","06","07","08","09","10","11","12")&amp;"-2024"</f>
        <v>29-09-2024</v>
      </c>
      <c r="R26" s="7"/>
      <c r="S26" s="7"/>
    </row>
    <row r="27" customFormat="false" ht="15" hidden="false" customHeight="true" outlineLevel="0" collapsed="false">
      <c r="A27" s="5" t="s">
        <v>79</v>
      </c>
      <c r="B27" s="5" t="s">
        <v>62</v>
      </c>
      <c r="C27" s="5" t="s">
        <v>80</v>
      </c>
      <c r="D27" s="6"/>
      <c r="E27" s="6" t="n">
        <v>25</v>
      </c>
      <c r="F27" s="5" t="s">
        <v>13</v>
      </c>
      <c r="G27" s="5"/>
      <c r="H27" s="5" t="str">
        <f aca="false">PROPER(B27)</f>
        <v>Sunglasses</v>
      </c>
      <c r="I27" s="5" t="str">
        <f aca="false">PROPER(C27)</f>
        <v>Ray-Ban</v>
      </c>
      <c r="J27" s="5" t="str">
        <f aca="false">IF(F27="Electroni","Electronics",IF(F27="","Unknown",F27))</f>
        <v>Fashion</v>
      </c>
      <c r="K27" s="5" t="str">
        <f aca="false">IF(D27="","missing",D27)</f>
        <v>missing</v>
      </c>
      <c r="L27" s="6" t="str">
        <f aca="false">PROPER(A27)</f>
        <v>03-Jun-Ca</v>
      </c>
      <c r="M27" s="6" t="str">
        <f aca="false">RIGHT(A27,2)</f>
        <v>CA</v>
      </c>
      <c r="N27" s="5" t="str">
        <f aca="false">LEFT(A27,6)</f>
        <v>03-JUN</v>
      </c>
      <c r="O27" s="5" t="str">
        <f aca="false">H27&amp;" "&amp;I27</f>
        <v>Sunglasses Ray-Ban</v>
      </c>
      <c r="P27" s="5" t="str">
        <f aca="false">J27</f>
        <v>Fashion</v>
      </c>
      <c r="Q27" s="5" t="str">
        <f aca="false">LEFT(A27,2)&amp;"-"&amp;CHOOSE(MATCH(MID(A27,4,3),{"JAN","FEB","MAR","APR","MAY","JUN","JUL","AUG","SEP","OCT","NOV","DEC"},0),"01","02","03","04","05","06","07","08","09","10","11","12")&amp;"-2024"</f>
        <v>03-06-2024</v>
      </c>
      <c r="R27" s="5"/>
      <c r="S27" s="5"/>
    </row>
    <row r="28" customFormat="false" ht="15" hidden="false" customHeight="true" outlineLevel="0" collapsed="false">
      <c r="A28" s="7" t="s">
        <v>81</v>
      </c>
      <c r="B28" s="7" t="s">
        <v>32</v>
      </c>
      <c r="C28" s="7" t="s">
        <v>82</v>
      </c>
      <c r="D28" s="8" t="n">
        <v>400</v>
      </c>
      <c r="E28" s="8" t="n">
        <v>40</v>
      </c>
      <c r="F28" s="7" t="s">
        <v>17</v>
      </c>
      <c r="G28" s="7"/>
      <c r="H28" s="7" t="str">
        <f aca="false">PROPER(B28)</f>
        <v>Blender</v>
      </c>
      <c r="I28" s="7" t="str">
        <f aca="false">PROPER(C28)</f>
        <v>Vitamix</v>
      </c>
      <c r="J28" s="7" t="str">
        <f aca="false">IF(F28="Electroni","Electronics",IF(F28="","Unknown",F28))</f>
        <v>Kitchen</v>
      </c>
      <c r="K28" s="7" t="n">
        <f aca="false">IF(D28="","missing",D28)</f>
        <v>400</v>
      </c>
      <c r="L28" s="8" t="str">
        <f aca="false">PROPER(A28)</f>
        <v>11-Jul-Ca</v>
      </c>
      <c r="M28" s="8" t="str">
        <f aca="false">RIGHT(A28,2)</f>
        <v>CA</v>
      </c>
      <c r="N28" s="7" t="str">
        <f aca="false">LEFT(A28,6)</f>
        <v>11-JUL</v>
      </c>
      <c r="O28" s="7" t="str">
        <f aca="false">H28&amp;" "&amp;I28</f>
        <v>Blender Vitamix</v>
      </c>
      <c r="P28" s="7" t="str">
        <f aca="false">J28</f>
        <v>Kitchen</v>
      </c>
      <c r="Q28" s="7" t="str">
        <f aca="false">LEFT(A28,2)&amp;"-"&amp;CHOOSE(MATCH(MID(A28,4,3),{"JAN","FEB","MAR","APR","MAY","JUN","JUL","AUG","SEP","OCT","NOV","DEC"},0),"01","02","03","04","05","06","07","08","09","10","11","12")&amp;"-2024"</f>
        <v>11-07-2024</v>
      </c>
      <c r="R28" s="7"/>
      <c r="S28" s="7"/>
    </row>
    <row r="29" customFormat="false" ht="15" hidden="false" customHeight="true" outlineLevel="0" collapsed="false">
      <c r="A29" s="5" t="s">
        <v>50</v>
      </c>
      <c r="B29" s="5" t="s">
        <v>51</v>
      </c>
      <c r="C29" s="5" t="s">
        <v>52</v>
      </c>
      <c r="D29" s="6" t="n">
        <v>250</v>
      </c>
      <c r="E29" s="6" t="n">
        <v>20</v>
      </c>
      <c r="F29" s="5" t="s">
        <v>27</v>
      </c>
      <c r="G29" s="5"/>
      <c r="H29" s="5" t="str">
        <f aca="false">PROPER(B29)</f>
        <v>Headphones</v>
      </c>
      <c r="I29" s="5" t="str">
        <f aca="false">PROPER(C29)</f>
        <v>Bose</v>
      </c>
      <c r="J29" s="5" t="str">
        <f aca="false">IF(F29="Electroni","Electronics",IF(F29="","Unknown",F29))</f>
        <v>Electronics</v>
      </c>
      <c r="K29" s="5" t="n">
        <f aca="false">IF(D29="","missing",D29)</f>
        <v>250</v>
      </c>
      <c r="L29" s="6" t="str">
        <f aca="false">PROPER(A29)</f>
        <v>16-Apr-Es</v>
      </c>
      <c r="M29" s="6" t="str">
        <f aca="false">RIGHT(A29,2)</f>
        <v>ES</v>
      </c>
      <c r="N29" s="5" t="str">
        <f aca="false">LEFT(A29,6)</f>
        <v>16-APR</v>
      </c>
      <c r="O29" s="5" t="str">
        <f aca="false">H29&amp;" "&amp;I29</f>
        <v>Headphones Bose</v>
      </c>
      <c r="P29" s="5" t="str">
        <f aca="false">J29</f>
        <v>Electronics</v>
      </c>
      <c r="Q29" s="5" t="str">
        <f aca="false">LEFT(A29,2)&amp;"-"&amp;CHOOSE(MATCH(MID(A29,4,3),{"JAN","FEB","MAR","APR","MAY","JUN","JUL","AUG","SEP","OCT","NOV","DEC"},0),"01","02","03","04","05","06","07","08","09","10","11","12")&amp;"-2024"</f>
        <v>16-04-2024</v>
      </c>
      <c r="R29" s="5"/>
      <c r="S29" s="5"/>
    </row>
    <row r="30" customFormat="false" ht="15" hidden="false" customHeight="true" outlineLevel="0" collapsed="false">
      <c r="A30" s="7" t="s">
        <v>83</v>
      </c>
      <c r="B30" s="7" t="s">
        <v>84</v>
      </c>
      <c r="C30" s="7" t="s">
        <v>85</v>
      </c>
      <c r="D30" s="8" t="n">
        <v>60</v>
      </c>
      <c r="E30" s="8" t="n">
        <v>30</v>
      </c>
      <c r="F30" s="7" t="s">
        <v>13</v>
      </c>
      <c r="G30" s="7"/>
      <c r="H30" s="7" t="str">
        <f aca="false">PROPER(B30)</f>
        <v>Dress</v>
      </c>
      <c r="I30" s="7" t="str">
        <f aca="false">PROPER(C30)</f>
        <v>Zara</v>
      </c>
      <c r="J30" s="7" t="str">
        <f aca="false">IF(F30="Electroni","Electronics",IF(F30="","Unknown",F30))</f>
        <v>Fashion</v>
      </c>
      <c r="K30" s="7" t="n">
        <f aca="false">IF(D30="","missing",D30)</f>
        <v>60</v>
      </c>
      <c r="L30" s="8" t="str">
        <f aca="false">PROPER(A30)</f>
        <v>07-Mar-Ca</v>
      </c>
      <c r="M30" s="8" t="str">
        <f aca="false">RIGHT(A30,2)</f>
        <v>CA</v>
      </c>
      <c r="N30" s="7" t="str">
        <f aca="false">LEFT(A30,6)</f>
        <v>07-MAR</v>
      </c>
      <c r="O30" s="7" t="str">
        <f aca="false">H30&amp;" "&amp;I30</f>
        <v>Dress Zara</v>
      </c>
      <c r="P30" s="7" t="str">
        <f aca="false">J30</f>
        <v>Fashion</v>
      </c>
      <c r="Q30" s="7" t="str">
        <f aca="false">LEFT(A30,2)&amp;"-"&amp;CHOOSE(MATCH(MID(A30,4,3),{"JAN","FEB","MAR","APR","MAY","JUN","JUL","AUG","SEP","OCT","NOV","DEC"},0),"01","02","03","04","05","06","07","08","09","10","11","12")&amp;"-2024"</f>
        <v>07-03-2024</v>
      </c>
      <c r="R30" s="7"/>
      <c r="S30" s="7"/>
    </row>
    <row r="31" customFormat="false" ht="15" hidden="false" customHeight="true" outlineLevel="0" collapsed="false">
      <c r="A31" s="5" t="s">
        <v>86</v>
      </c>
      <c r="B31" s="5" t="s">
        <v>87</v>
      </c>
      <c r="C31" s="5" t="s">
        <v>88</v>
      </c>
      <c r="D31" s="6" t="n">
        <v>40</v>
      </c>
      <c r="E31" s="6" t="n">
        <v>10</v>
      </c>
      <c r="F31" s="5" t="s">
        <v>17</v>
      </c>
      <c r="G31" s="5"/>
      <c r="H31" s="5" t="str">
        <f aca="false">PROPER(B31)</f>
        <v>Toaster</v>
      </c>
      <c r="I31" s="5" t="str">
        <f aca="false">PROPER(C31)</f>
        <v>Hamilton</v>
      </c>
      <c r="J31" s="5" t="str">
        <f aca="false">IF(F31="Electroni","Electronics",IF(F31="","Unknown",F31))</f>
        <v>Kitchen</v>
      </c>
      <c r="K31" s="5" t="n">
        <f aca="false">IF(D31="","missing",D31)</f>
        <v>40</v>
      </c>
      <c r="L31" s="6" t="str">
        <f aca="false">PROPER(A31)</f>
        <v>13-Apr-Ca</v>
      </c>
      <c r="M31" s="6" t="str">
        <f aca="false">RIGHT(A31,2)</f>
        <v>CA</v>
      </c>
      <c r="N31" s="5" t="str">
        <f aca="false">LEFT(A31,6)</f>
        <v>13-APR</v>
      </c>
      <c r="O31" s="5" t="str">
        <f aca="false">H31&amp;" "&amp;I31</f>
        <v>Toaster Hamilton</v>
      </c>
      <c r="P31" s="5" t="str">
        <f aca="false">J31</f>
        <v>Kitchen</v>
      </c>
      <c r="Q31" s="5" t="str">
        <f aca="false">LEFT(A31,2)&amp;"-"&amp;CHOOSE(MATCH(MID(A31,4,3),{"JAN","FEB","MAR","APR","MAY","JUN","JUL","AUG","SEP","OCT","NOV","DEC"},0),"01","02","03","04","05","06","07","08","09","10","11","12")&amp;"-2024"</f>
        <v>13-04-2024</v>
      </c>
      <c r="R31" s="5"/>
      <c r="S31" s="5"/>
    </row>
    <row r="32" customFormat="false" ht="15" hidden="false" customHeight="true" outlineLevel="0" collapsed="false">
      <c r="A32" s="7" t="s">
        <v>89</v>
      </c>
      <c r="B32" s="7" t="s">
        <v>74</v>
      </c>
      <c r="C32" s="7" t="s">
        <v>90</v>
      </c>
      <c r="D32" s="8" t="n">
        <v>130</v>
      </c>
      <c r="E32" s="8" t="n">
        <v>5</v>
      </c>
      <c r="F32" s="7" t="s">
        <v>9</v>
      </c>
      <c r="G32" s="7"/>
      <c r="H32" s="7" t="str">
        <f aca="false">PROPER(B32)</f>
        <v>Fitness Tracker</v>
      </c>
      <c r="I32" s="7" t="str">
        <f aca="false">PROPER(C32)</f>
        <v>Garmin</v>
      </c>
      <c r="J32" s="7" t="str">
        <f aca="false">IF(F32="Electroni","Electronics",IF(F32="","Unknown",F32))</f>
        <v>Electronics</v>
      </c>
      <c r="K32" s="7" t="n">
        <f aca="false">IF(D32="","missing",D32)</f>
        <v>130</v>
      </c>
      <c r="L32" s="8" t="str">
        <f aca="false">PROPER(A32)</f>
        <v>24-May-Ca</v>
      </c>
      <c r="M32" s="8" t="str">
        <f aca="false">RIGHT(A32,2)</f>
        <v>CA</v>
      </c>
      <c r="N32" s="7" t="str">
        <f aca="false">LEFT(A32,6)</f>
        <v>24-MAY</v>
      </c>
      <c r="O32" s="7" t="str">
        <f aca="false">H32&amp;" "&amp;I32</f>
        <v>Fitness Tracker Garmin</v>
      </c>
      <c r="P32" s="7" t="str">
        <f aca="false">J32</f>
        <v>Electronics</v>
      </c>
      <c r="Q32" s="7" t="str">
        <f aca="false">LEFT(A32,2)&amp;"-"&amp;CHOOSE(MATCH(MID(A32,4,3),{"JAN","FEB","MAR","APR","MAY","JUN","JUL","AUG","SEP","OCT","NOV","DEC"},0),"01","02","03","04","05","06","07","08","09","10","11","12")&amp;"-2024"</f>
        <v>24-05-2024</v>
      </c>
      <c r="R32" s="7"/>
      <c r="S32" s="7"/>
    </row>
    <row r="33" customFormat="false" ht="15" hidden="false" customHeight="true" outlineLevel="0" collapsed="false">
      <c r="A33" s="5" t="s">
        <v>91</v>
      </c>
      <c r="B33" s="5" t="s">
        <v>92</v>
      </c>
      <c r="C33" s="5" t="s">
        <v>93</v>
      </c>
      <c r="D33" s="6" t="n">
        <v>50</v>
      </c>
      <c r="E33" s="6" t="n">
        <v>50</v>
      </c>
      <c r="F33" s="5" t="s">
        <v>13</v>
      </c>
      <c r="G33" s="5"/>
      <c r="H33" s="5" t="str">
        <f aca="false">PROPER(B33)</f>
        <v>Jeans</v>
      </c>
      <c r="I33" s="5" t="str">
        <f aca="false">PROPER(C33)</f>
        <v>Levi'S</v>
      </c>
      <c r="J33" s="5" t="str">
        <f aca="false">IF(F33="Electroni","Electronics",IF(F33="","Unknown",F33))</f>
        <v>Fashion</v>
      </c>
      <c r="K33" s="5" t="n">
        <f aca="false">IF(D33="","missing",D33)</f>
        <v>50</v>
      </c>
      <c r="L33" s="6" t="str">
        <f aca="false">PROPER(A33)</f>
        <v>02-Dec-Ca</v>
      </c>
      <c r="M33" s="6" t="str">
        <f aca="false">RIGHT(A33,2)</f>
        <v>CA</v>
      </c>
      <c r="N33" s="5" t="str">
        <f aca="false">LEFT(A33,6)</f>
        <v>02-DEC</v>
      </c>
      <c r="O33" s="5" t="str">
        <f aca="false">H33&amp;" "&amp;I33</f>
        <v>Jeans Levi'S</v>
      </c>
      <c r="P33" s="5" t="str">
        <f aca="false">J33</f>
        <v>Fashion</v>
      </c>
      <c r="Q33" s="5" t="str">
        <f aca="false">LEFT(A33,2)&amp;"-"&amp;CHOOSE(MATCH(MID(A33,4,3),{"JAN","FEB","MAR","APR","MAY","JUN","JUL","AUG","SEP","OCT","NOV","DEC"},0),"01","02","03","04","05","06","07","08","09","10","11","12")&amp;"-2024"</f>
        <v>02-12-2024</v>
      </c>
      <c r="R33" s="5"/>
      <c r="S33" s="5"/>
    </row>
    <row r="34" customFormat="false" ht="15" hidden="false" customHeight="true" outlineLevel="0" collapsed="false">
      <c r="A34" s="7" t="s">
        <v>41</v>
      </c>
      <c r="B34" s="7" t="s">
        <v>42</v>
      </c>
      <c r="C34" s="7" t="s">
        <v>43</v>
      </c>
      <c r="D34" s="8" t="n">
        <v>950</v>
      </c>
      <c r="E34" s="8" t="n">
        <v>25</v>
      </c>
      <c r="F34" s="7" t="s">
        <v>9</v>
      </c>
      <c r="G34" s="7"/>
      <c r="H34" s="7" t="str">
        <f aca="false">PROPER(B34)</f>
        <v>Laptop</v>
      </c>
      <c r="I34" s="7" t="str">
        <f aca="false">PROPER(C34)</f>
        <v>Hp</v>
      </c>
      <c r="J34" s="7" t="str">
        <f aca="false">IF(F34="Electroni","Electronics",IF(F34="","Unknown",F34))</f>
        <v>Electronics</v>
      </c>
      <c r="K34" s="7" t="n">
        <f aca="false">IF(D34="","missing",D34)</f>
        <v>950</v>
      </c>
      <c r="L34" s="8" t="str">
        <f aca="false">PROPER(A34)</f>
        <v>17-Jun-In</v>
      </c>
      <c r="M34" s="8" t="str">
        <f aca="false">RIGHT(A34,2)</f>
        <v>IN</v>
      </c>
      <c r="N34" s="7" t="str">
        <f aca="false">LEFT(A34,6)</f>
        <v>17-JUN</v>
      </c>
      <c r="O34" s="7" t="str">
        <f aca="false">H34&amp;" "&amp;I34</f>
        <v>Laptop Hp</v>
      </c>
      <c r="P34" s="7" t="str">
        <f aca="false">J34</f>
        <v>Electronics</v>
      </c>
      <c r="Q34" s="7" t="str">
        <f aca="false">LEFT(A34,2)&amp;"-"&amp;CHOOSE(MATCH(MID(A34,4,3),{"JAN","FEB","MAR","APR","MAY","JUN","JUL","AUG","SEP","OCT","NOV","DEC"},0),"01","02","03","04","05","06","07","08","09","10","11","12")&amp;"-2024"</f>
        <v>17-06-2024</v>
      </c>
      <c r="R34" s="7"/>
      <c r="S34" s="7"/>
    </row>
    <row r="35" customFormat="false" ht="15" hidden="false" customHeight="true" outlineLevel="0" collapsed="false">
      <c r="A35" s="5" t="s">
        <v>94</v>
      </c>
      <c r="B35" s="5" t="s">
        <v>95</v>
      </c>
      <c r="C35" s="5" t="s">
        <v>96</v>
      </c>
      <c r="D35" s="6" t="n">
        <v>100</v>
      </c>
      <c r="E35" s="6" t="n">
        <v>20</v>
      </c>
      <c r="F35" s="5" t="s">
        <v>56</v>
      </c>
      <c r="G35" s="5"/>
      <c r="H35" s="5" t="str">
        <f aca="false">PROPER(B35)</f>
        <v>Watch</v>
      </c>
      <c r="I35" s="5" t="str">
        <f aca="false">PROPER(C35)</f>
        <v>Casio</v>
      </c>
      <c r="J35" s="5" t="str">
        <f aca="false">IF(F35="Electroni","Electronics",IF(F35="","Unknown",F35))</f>
        <v>Accessories</v>
      </c>
      <c r="K35" s="5" t="n">
        <f aca="false">IF(D35="","missing",D35)</f>
        <v>100</v>
      </c>
      <c r="L35" s="6" t="str">
        <f aca="false">PROPER(A35)</f>
        <v>09-Jul-Fr</v>
      </c>
      <c r="M35" s="6" t="str">
        <f aca="false">RIGHT(A35,2)</f>
        <v>FR</v>
      </c>
      <c r="N35" s="5" t="str">
        <f aca="false">LEFT(A35,6)</f>
        <v>09-JUL</v>
      </c>
      <c r="O35" s="5" t="str">
        <f aca="false">H35&amp;" "&amp;I35</f>
        <v>Watch Casio</v>
      </c>
      <c r="P35" s="5" t="str">
        <f aca="false">J35</f>
        <v>Accessories</v>
      </c>
      <c r="Q35" s="5" t="str">
        <f aca="false">LEFT(A35,2)&amp;"-"&amp;CHOOSE(MATCH(MID(A35,4,3),{"JAN","FEB","MAR","APR","MAY","JUN","JUL","AUG","SEP","OCT","NOV","DEC"},0),"01","02","03","04","05","06","07","08","09","10","11","12")&amp;"-2024"</f>
        <v>09-07-2024</v>
      </c>
      <c r="R35" s="5"/>
      <c r="S35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6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36"/>
    <col collapsed="false" customWidth="true" hidden="false" outlineLevel="0" max="6" min="6" style="0" width="18"/>
  </cols>
  <sheetData>
    <row r="1" customFormat="false" ht="30" hidden="false" customHeight="true" outlineLevel="0" collapsed="false">
      <c r="A1" s="9" t="s">
        <v>109</v>
      </c>
      <c r="B1" s="9"/>
      <c r="C1" s="9"/>
      <c r="D1" s="9"/>
      <c r="E1" s="9"/>
      <c r="F1" s="9"/>
    </row>
    <row r="2" customFormat="false" ht="24" hidden="false" customHeight="true" outlineLevel="0" collapsed="false">
      <c r="A2" s="10" t="s">
        <v>110</v>
      </c>
      <c r="B2" s="10" t="s">
        <v>111</v>
      </c>
      <c r="C2" s="10" t="s">
        <v>112</v>
      </c>
      <c r="D2" s="10" t="s">
        <v>113</v>
      </c>
      <c r="E2" s="10" t="s">
        <v>114</v>
      </c>
      <c r="F2" s="10" t="s">
        <v>115</v>
      </c>
    </row>
    <row r="3" customFormat="false" ht="57.75" hidden="false" customHeight="true" outlineLevel="0" collapsed="false">
      <c r="A3" s="11" t="s">
        <v>116</v>
      </c>
      <c r="B3" s="12" t="s">
        <v>117</v>
      </c>
      <c r="C3" s="13" t="s">
        <v>118</v>
      </c>
      <c r="D3" s="12" t="s">
        <v>119</v>
      </c>
      <c r="E3" s="14" t="s">
        <v>120</v>
      </c>
      <c r="F3" s="15" t="s">
        <v>121</v>
      </c>
    </row>
    <row r="4" customFormat="false" ht="57.75" hidden="false" customHeight="true" outlineLevel="0" collapsed="false">
      <c r="A4" s="16" t="s">
        <v>122</v>
      </c>
      <c r="B4" s="12" t="s">
        <v>123</v>
      </c>
      <c r="C4" s="17" t="s">
        <v>124</v>
      </c>
      <c r="D4" s="12" t="s">
        <v>125</v>
      </c>
      <c r="E4" s="14" t="s">
        <v>126</v>
      </c>
      <c r="F4" s="15" t="s">
        <v>127</v>
      </c>
    </row>
    <row r="5" customFormat="false" ht="57.75" hidden="false" customHeight="true" outlineLevel="0" collapsed="false">
      <c r="A5" s="16" t="s">
        <v>122</v>
      </c>
      <c r="B5" s="12" t="s">
        <v>128</v>
      </c>
      <c r="C5" s="17" t="s">
        <v>129</v>
      </c>
      <c r="D5" s="12" t="s">
        <v>130</v>
      </c>
      <c r="E5" s="14" t="s">
        <v>131</v>
      </c>
      <c r="F5" s="15" t="s">
        <v>132</v>
      </c>
    </row>
    <row r="6" customFormat="false" ht="57.75" hidden="false" customHeight="true" outlineLevel="0" collapsed="false">
      <c r="A6" s="18" t="s">
        <v>133</v>
      </c>
      <c r="B6" s="12" t="s">
        <v>134</v>
      </c>
      <c r="C6" s="19" t="s">
        <v>135</v>
      </c>
      <c r="D6" s="12" t="s">
        <v>136</v>
      </c>
      <c r="E6" s="14" t="s">
        <v>137</v>
      </c>
      <c r="F6" s="15" t="s">
        <v>138</v>
      </c>
    </row>
    <row r="7" customFormat="false" ht="57.75" hidden="false" customHeight="true" outlineLevel="0" collapsed="false">
      <c r="A7" s="18" t="s">
        <v>139</v>
      </c>
      <c r="B7" s="12" t="s">
        <v>140</v>
      </c>
      <c r="C7" s="19" t="s">
        <v>141</v>
      </c>
      <c r="D7" s="12" t="s">
        <v>142</v>
      </c>
      <c r="E7" s="14" t="s">
        <v>143</v>
      </c>
      <c r="F7" s="15" t="s">
        <v>144</v>
      </c>
    </row>
    <row r="8" customFormat="false" ht="57.75" hidden="false" customHeight="true" outlineLevel="0" collapsed="false">
      <c r="A8" s="18" t="s">
        <v>145</v>
      </c>
      <c r="B8" s="12" t="s">
        <v>146</v>
      </c>
      <c r="C8" s="19" t="s">
        <v>147</v>
      </c>
      <c r="D8" s="12" t="s">
        <v>148</v>
      </c>
      <c r="E8" s="14" t="s">
        <v>149</v>
      </c>
      <c r="F8" s="15" t="s">
        <v>150</v>
      </c>
    </row>
    <row r="9" customFormat="false" ht="57.75" hidden="false" customHeight="true" outlineLevel="0" collapsed="false">
      <c r="A9" s="20" t="s">
        <v>151</v>
      </c>
      <c r="B9" s="12" t="s">
        <v>152</v>
      </c>
      <c r="C9" s="21" t="s">
        <v>153</v>
      </c>
      <c r="D9" s="12" t="s">
        <v>154</v>
      </c>
      <c r="E9" s="14" t="s">
        <v>155</v>
      </c>
      <c r="F9" s="15" t="s">
        <v>156</v>
      </c>
    </row>
    <row r="10" customFormat="false" ht="57.75" hidden="false" customHeight="true" outlineLevel="0" collapsed="false">
      <c r="A10" s="20" t="s">
        <v>157</v>
      </c>
      <c r="B10" s="12" t="s">
        <v>158</v>
      </c>
      <c r="C10" s="21" t="s">
        <v>159</v>
      </c>
      <c r="D10" s="12" t="s">
        <v>160</v>
      </c>
      <c r="E10" s="14" t="s">
        <v>161</v>
      </c>
      <c r="F10" s="15" t="s">
        <v>162</v>
      </c>
    </row>
    <row r="11" customFormat="false" ht="57.75" hidden="false" customHeight="true" outlineLevel="0" collapsed="false">
      <c r="A11" s="22" t="s">
        <v>163</v>
      </c>
      <c r="B11" s="12" t="s">
        <v>164</v>
      </c>
      <c r="C11" s="23" t="s">
        <v>165</v>
      </c>
      <c r="D11" s="12" t="s">
        <v>166</v>
      </c>
      <c r="E11" s="14" t="s">
        <v>167</v>
      </c>
      <c r="F11" s="15" t="s">
        <v>168</v>
      </c>
    </row>
    <row r="12" customFormat="false" ht="57.75" hidden="false" customHeight="true" outlineLevel="0" collapsed="false">
      <c r="A12" s="22" t="s">
        <v>169</v>
      </c>
      <c r="B12" s="12" t="s">
        <v>170</v>
      </c>
      <c r="C12" s="23" t="s">
        <v>171</v>
      </c>
      <c r="D12" s="12" t="s">
        <v>172</v>
      </c>
      <c r="E12" s="14" t="s">
        <v>173</v>
      </c>
      <c r="F12" s="15" t="s">
        <v>174</v>
      </c>
    </row>
    <row r="13" customFormat="false" ht="57.75" hidden="false" customHeight="true" outlineLevel="0" collapsed="false">
      <c r="A13" s="24" t="s">
        <v>175</v>
      </c>
      <c r="B13" s="12" t="s">
        <v>176</v>
      </c>
      <c r="C13" s="25" t="s">
        <v>177</v>
      </c>
      <c r="D13" s="12" t="s">
        <v>178</v>
      </c>
      <c r="E13" s="14" t="s">
        <v>179</v>
      </c>
      <c r="F13" s="15" t="s">
        <v>180</v>
      </c>
    </row>
    <row r="14" customFormat="false" ht="57.75" hidden="false" customHeight="true" outlineLevel="0" collapsed="false">
      <c r="A14" s="26" t="s">
        <v>181</v>
      </c>
      <c r="B14" s="12" t="s">
        <v>182</v>
      </c>
      <c r="C14" s="27" t="s">
        <v>183</v>
      </c>
      <c r="D14" s="12" t="s">
        <v>184</v>
      </c>
      <c r="E14" s="14" t="s">
        <v>185</v>
      </c>
      <c r="F14" s="15" t="s">
        <v>186</v>
      </c>
    </row>
    <row r="15" customFormat="false" ht="57.75" hidden="false" customHeight="true" outlineLevel="0" collapsed="false">
      <c r="A15" s="24" t="s">
        <v>187</v>
      </c>
      <c r="B15" s="12" t="s">
        <v>188</v>
      </c>
      <c r="C15" s="25" t="s">
        <v>189</v>
      </c>
      <c r="D15" s="12" t="s">
        <v>190</v>
      </c>
      <c r="E15" s="14" t="s">
        <v>191</v>
      </c>
      <c r="F15" s="15" t="s">
        <v>192</v>
      </c>
    </row>
    <row r="17" customFormat="false" ht="18" hidden="false" customHeight="true" outlineLevel="0" collapsed="false">
      <c r="A17" s="28" t="s">
        <v>193</v>
      </c>
      <c r="B17" s="28"/>
      <c r="C17" s="28"/>
      <c r="D17" s="28"/>
      <c r="E17" s="28"/>
      <c r="F17" s="28"/>
    </row>
  </sheetData>
  <mergeCells count="2">
    <mergeCell ref="A1:F1"/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10"/>
    <col collapsed="false" customWidth="true" hidden="false" outlineLevel="0" max="7" min="7" style="1" width="14"/>
    <col collapsed="false" customWidth="true" hidden="false" outlineLevel="0" max="8" min="8" style="1" width="22"/>
  </cols>
  <sheetData>
    <row r="1" customFormat="false" ht="19.5" hidden="false" customHeight="true" outlineLevel="0" collapsed="false">
      <c r="A1" s="2" t="s">
        <v>0</v>
      </c>
      <c r="B1" s="2" t="s">
        <v>102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194</v>
      </c>
    </row>
    <row r="2" customFormat="false" ht="15" hidden="false" customHeight="true" outlineLevel="0" collapsed="false">
      <c r="A2" s="3" t="s">
        <v>174</v>
      </c>
      <c r="B2" s="3" t="s">
        <v>138</v>
      </c>
      <c r="C2" s="3" t="s">
        <v>42</v>
      </c>
      <c r="D2" s="3" t="s">
        <v>8</v>
      </c>
      <c r="E2" s="29" t="n">
        <v>1000</v>
      </c>
      <c r="F2" s="4" t="n">
        <v>30</v>
      </c>
      <c r="G2" s="30" t="s">
        <v>9</v>
      </c>
      <c r="H2" s="3" t="s">
        <v>168</v>
      </c>
    </row>
    <row r="3" customFormat="false" ht="15" hidden="false" customHeight="true" outlineLevel="0" collapsed="false">
      <c r="A3" s="5" t="s">
        <v>195</v>
      </c>
      <c r="B3" s="5" t="s">
        <v>138</v>
      </c>
      <c r="C3" s="5" t="s">
        <v>11</v>
      </c>
      <c r="D3" s="5" t="s">
        <v>12</v>
      </c>
      <c r="E3" s="31" t="n">
        <v>80</v>
      </c>
      <c r="F3" s="6" t="n">
        <v>15</v>
      </c>
      <c r="G3" s="5" t="s">
        <v>13</v>
      </c>
      <c r="H3" s="5" t="s">
        <v>196</v>
      </c>
    </row>
    <row r="4" customFormat="false" ht="15" hidden="false" customHeight="true" outlineLevel="0" collapsed="false">
      <c r="A4" s="3" t="s">
        <v>197</v>
      </c>
      <c r="B4" s="3" t="s">
        <v>138</v>
      </c>
      <c r="C4" s="3" t="s">
        <v>15</v>
      </c>
      <c r="D4" s="3" t="s">
        <v>16</v>
      </c>
      <c r="E4" s="29" t="n">
        <v>130</v>
      </c>
      <c r="F4" s="4" t="n">
        <v>40</v>
      </c>
      <c r="G4" s="3" t="s">
        <v>17</v>
      </c>
      <c r="H4" s="3" t="s">
        <v>198</v>
      </c>
    </row>
    <row r="5" customFormat="false" ht="15" hidden="false" customHeight="true" outlineLevel="0" collapsed="false">
      <c r="A5" s="5" t="s">
        <v>199</v>
      </c>
      <c r="B5" s="5" t="s">
        <v>138</v>
      </c>
      <c r="C5" s="5" t="s">
        <v>77</v>
      </c>
      <c r="D5" s="5" t="s">
        <v>20</v>
      </c>
      <c r="E5" s="31" t="n">
        <v>900</v>
      </c>
      <c r="F5" s="6" t="n">
        <v>25</v>
      </c>
      <c r="G5" s="30" t="s">
        <v>9</v>
      </c>
      <c r="H5" s="5" t="s">
        <v>200</v>
      </c>
    </row>
    <row r="6" customFormat="false" ht="15" hidden="false" customHeight="true" outlineLevel="0" collapsed="false">
      <c r="A6" s="3" t="s">
        <v>201</v>
      </c>
      <c r="B6" s="3" t="s">
        <v>138</v>
      </c>
      <c r="C6" s="3" t="s">
        <v>22</v>
      </c>
      <c r="D6" s="3" t="s">
        <v>23</v>
      </c>
      <c r="E6" s="29" t="n">
        <v>70</v>
      </c>
      <c r="F6" s="4" t="n">
        <v>20</v>
      </c>
      <c r="G6" s="3" t="s">
        <v>40</v>
      </c>
      <c r="H6" s="3" t="s">
        <v>202</v>
      </c>
    </row>
    <row r="7" customFormat="false" ht="15" hidden="false" customHeight="true" outlineLevel="0" collapsed="false">
      <c r="A7" s="5" t="s">
        <v>203</v>
      </c>
      <c r="B7" s="5" t="s">
        <v>204</v>
      </c>
      <c r="C7" s="5" t="s">
        <v>25</v>
      </c>
      <c r="D7" s="5" t="s">
        <v>26</v>
      </c>
      <c r="E7" s="31" t="n">
        <v>711</v>
      </c>
      <c r="F7" s="6" t="n">
        <v>45</v>
      </c>
      <c r="G7" s="30" t="s">
        <v>9</v>
      </c>
      <c r="H7" s="5" t="s">
        <v>205</v>
      </c>
    </row>
    <row r="8" customFormat="false" ht="15" hidden="false" customHeight="true" outlineLevel="0" collapsed="false">
      <c r="A8" s="3" t="s">
        <v>206</v>
      </c>
      <c r="B8" s="3" t="s">
        <v>204</v>
      </c>
      <c r="C8" s="3" t="s">
        <v>207</v>
      </c>
      <c r="D8" s="3" t="s">
        <v>30</v>
      </c>
      <c r="E8" s="29" t="n">
        <v>30</v>
      </c>
      <c r="F8" s="4" t="n">
        <v>5</v>
      </c>
      <c r="G8" s="3" t="s">
        <v>13</v>
      </c>
      <c r="H8" s="3" t="s">
        <v>208</v>
      </c>
    </row>
    <row r="9" customFormat="false" ht="15" hidden="false" customHeight="true" outlineLevel="0" collapsed="false">
      <c r="A9" s="5" t="s">
        <v>209</v>
      </c>
      <c r="B9" s="5" t="s">
        <v>204</v>
      </c>
      <c r="C9" s="5" t="s">
        <v>32</v>
      </c>
      <c r="D9" s="5" t="s">
        <v>33</v>
      </c>
      <c r="E9" s="31" t="n">
        <v>90</v>
      </c>
      <c r="F9" s="6" t="n">
        <v>35</v>
      </c>
      <c r="G9" s="5" t="s">
        <v>17</v>
      </c>
      <c r="H9" s="5" t="s">
        <v>210</v>
      </c>
    </row>
    <row r="10" customFormat="false" ht="15" hidden="false" customHeight="true" outlineLevel="0" collapsed="false">
      <c r="A10" s="3" t="s">
        <v>211</v>
      </c>
      <c r="B10" s="3" t="s">
        <v>204</v>
      </c>
      <c r="C10" s="3" t="s">
        <v>35</v>
      </c>
      <c r="D10" s="3" t="s">
        <v>36</v>
      </c>
      <c r="E10" s="29" t="n">
        <v>500</v>
      </c>
      <c r="F10" s="4" t="n">
        <v>50</v>
      </c>
      <c r="G10" s="30" t="s">
        <v>9</v>
      </c>
      <c r="H10" s="3" t="s">
        <v>212</v>
      </c>
    </row>
    <row r="11" customFormat="false" ht="15" hidden="false" customHeight="true" outlineLevel="0" collapsed="false">
      <c r="A11" s="5" t="s">
        <v>213</v>
      </c>
      <c r="B11" s="5" t="s">
        <v>204</v>
      </c>
      <c r="C11" s="5" t="s">
        <v>38</v>
      </c>
      <c r="D11" s="5" t="s">
        <v>39</v>
      </c>
      <c r="E11" s="31" t="n">
        <v>130</v>
      </c>
      <c r="F11" s="6" t="n">
        <v>10</v>
      </c>
      <c r="G11" s="5" t="s">
        <v>40</v>
      </c>
      <c r="H11" s="5" t="s">
        <v>214</v>
      </c>
    </row>
    <row r="12" customFormat="false" ht="15" hidden="false" customHeight="true" outlineLevel="0" collapsed="false">
      <c r="A12" s="3" t="s">
        <v>215</v>
      </c>
      <c r="B12" s="3" t="s">
        <v>216</v>
      </c>
      <c r="C12" s="3" t="s">
        <v>42</v>
      </c>
      <c r="D12" s="3" t="s">
        <v>43</v>
      </c>
      <c r="E12" s="29" t="n">
        <v>950</v>
      </c>
      <c r="F12" s="4" t="n">
        <v>25</v>
      </c>
      <c r="G12" s="30" t="s">
        <v>9</v>
      </c>
      <c r="H12" s="3" t="s">
        <v>217</v>
      </c>
    </row>
    <row r="13" customFormat="false" ht="15" hidden="false" customHeight="true" outlineLevel="0" collapsed="false">
      <c r="A13" s="5" t="s">
        <v>218</v>
      </c>
      <c r="B13" s="5" t="s">
        <v>219</v>
      </c>
      <c r="C13" s="5" t="s">
        <v>11</v>
      </c>
      <c r="D13" s="5" t="s">
        <v>30</v>
      </c>
      <c r="E13" s="31" t="n">
        <v>90</v>
      </c>
      <c r="F13" s="6" t="n">
        <v>40</v>
      </c>
      <c r="G13" s="5" t="s">
        <v>13</v>
      </c>
      <c r="H13" s="5" t="s">
        <v>220</v>
      </c>
    </row>
    <row r="14" customFormat="false" ht="15" hidden="false" customHeight="true" outlineLevel="0" collapsed="false">
      <c r="A14" s="3" t="s">
        <v>221</v>
      </c>
      <c r="B14" s="3" t="s">
        <v>222</v>
      </c>
      <c r="C14" s="3" t="s">
        <v>15</v>
      </c>
      <c r="D14" s="3" t="s">
        <v>46</v>
      </c>
      <c r="E14" s="29" t="n">
        <v>120</v>
      </c>
      <c r="F14" s="4" t="n">
        <v>35</v>
      </c>
      <c r="G14" s="3" t="s">
        <v>17</v>
      </c>
      <c r="H14" s="3" t="s">
        <v>223</v>
      </c>
    </row>
    <row r="15" customFormat="false" ht="15" hidden="false" customHeight="true" outlineLevel="0" collapsed="false">
      <c r="A15" s="5" t="s">
        <v>224</v>
      </c>
      <c r="B15" s="5" t="s">
        <v>225</v>
      </c>
      <c r="C15" s="5" t="s">
        <v>48</v>
      </c>
      <c r="D15" s="5" t="s">
        <v>49</v>
      </c>
      <c r="E15" s="31" t="n">
        <v>150</v>
      </c>
      <c r="F15" s="6" t="n">
        <v>15</v>
      </c>
      <c r="G15" s="30" t="s">
        <v>9</v>
      </c>
      <c r="H15" s="5" t="s">
        <v>226</v>
      </c>
    </row>
    <row r="16" customFormat="false" ht="15" hidden="false" customHeight="true" outlineLevel="0" collapsed="false">
      <c r="A16" s="3" t="s">
        <v>227</v>
      </c>
      <c r="B16" s="3" t="s">
        <v>228</v>
      </c>
      <c r="C16" s="3" t="s">
        <v>25</v>
      </c>
      <c r="D16" s="3" t="s">
        <v>52</v>
      </c>
      <c r="E16" s="29" t="n">
        <v>250</v>
      </c>
      <c r="F16" s="4" t="n">
        <v>20</v>
      </c>
      <c r="G16" s="30" t="s">
        <v>9</v>
      </c>
      <c r="H16" s="3" t="s">
        <v>229</v>
      </c>
    </row>
    <row r="17" customFormat="false" ht="15" hidden="false" customHeight="true" outlineLevel="0" collapsed="false">
      <c r="A17" s="5" t="s">
        <v>230</v>
      </c>
      <c r="B17" s="5" t="s">
        <v>225</v>
      </c>
      <c r="C17" s="5" t="s">
        <v>54</v>
      </c>
      <c r="D17" s="5" t="s">
        <v>55</v>
      </c>
      <c r="E17" s="31" t="n">
        <v>50</v>
      </c>
      <c r="F17" s="6" t="n">
        <v>35</v>
      </c>
      <c r="G17" s="5" t="s">
        <v>56</v>
      </c>
      <c r="H17" s="5" t="s">
        <v>231</v>
      </c>
    </row>
    <row r="18" customFormat="false" ht="15" hidden="false" customHeight="true" outlineLevel="0" collapsed="false">
      <c r="A18" s="3" t="s">
        <v>232</v>
      </c>
      <c r="B18" s="3" t="s">
        <v>233</v>
      </c>
      <c r="C18" s="3" t="s">
        <v>48</v>
      </c>
      <c r="D18" s="3" t="s">
        <v>58</v>
      </c>
      <c r="E18" s="29" t="n">
        <v>160</v>
      </c>
      <c r="F18" s="4" t="n">
        <v>15</v>
      </c>
      <c r="G18" s="30" t="s">
        <v>9</v>
      </c>
      <c r="H18" s="3" t="s">
        <v>234</v>
      </c>
    </row>
    <row r="19" customFormat="false" ht="15" hidden="false" customHeight="true" outlineLevel="0" collapsed="false">
      <c r="A19" s="5" t="s">
        <v>235</v>
      </c>
      <c r="B19" s="5" t="s">
        <v>236</v>
      </c>
      <c r="C19" s="5" t="s">
        <v>42</v>
      </c>
      <c r="D19" s="5" t="s">
        <v>60</v>
      </c>
      <c r="E19" s="31" t="n">
        <v>980</v>
      </c>
      <c r="F19" s="6" t="n">
        <v>10</v>
      </c>
      <c r="G19" s="30" t="s">
        <v>9</v>
      </c>
      <c r="H19" s="5" t="s">
        <v>237</v>
      </c>
    </row>
    <row r="20" customFormat="false" ht="15" hidden="false" customHeight="true" outlineLevel="0" collapsed="false">
      <c r="A20" s="3" t="s">
        <v>238</v>
      </c>
      <c r="B20" s="3" t="s">
        <v>204</v>
      </c>
      <c r="C20" s="3" t="s">
        <v>62</v>
      </c>
      <c r="D20" s="3" t="s">
        <v>63</v>
      </c>
      <c r="E20" s="29" t="n">
        <v>150</v>
      </c>
      <c r="F20" s="4" t="n">
        <v>15</v>
      </c>
      <c r="G20" s="3" t="s">
        <v>13</v>
      </c>
      <c r="H20" s="3" t="s">
        <v>239</v>
      </c>
    </row>
    <row r="21" customFormat="false" ht="15" hidden="false" customHeight="true" outlineLevel="0" collapsed="false">
      <c r="A21" s="5" t="s">
        <v>240</v>
      </c>
      <c r="B21" s="5" t="s">
        <v>138</v>
      </c>
      <c r="C21" s="5" t="s">
        <v>65</v>
      </c>
      <c r="D21" s="5" t="s">
        <v>66</v>
      </c>
      <c r="E21" s="31" t="n">
        <v>130</v>
      </c>
      <c r="F21" s="6" t="n">
        <v>10</v>
      </c>
      <c r="G21" s="5" t="s">
        <v>40</v>
      </c>
      <c r="H21" s="5" t="s">
        <v>241</v>
      </c>
    </row>
    <row r="22" customFormat="false" ht="15" hidden="false" customHeight="true" outlineLevel="0" collapsed="false">
      <c r="A22" s="3" t="s">
        <v>242</v>
      </c>
      <c r="B22" s="3" t="s">
        <v>243</v>
      </c>
      <c r="C22" s="3" t="s">
        <v>68</v>
      </c>
      <c r="D22" s="3" t="s">
        <v>69</v>
      </c>
      <c r="E22" s="29" t="n">
        <v>700</v>
      </c>
      <c r="F22" s="4" t="n">
        <v>50</v>
      </c>
      <c r="G22" s="30" t="s">
        <v>9</v>
      </c>
      <c r="H22" s="3" t="s">
        <v>244</v>
      </c>
    </row>
    <row r="23" customFormat="false" ht="15" hidden="false" customHeight="true" outlineLevel="0" collapsed="false">
      <c r="A23" s="5" t="s">
        <v>245</v>
      </c>
      <c r="B23" s="5" t="s">
        <v>225</v>
      </c>
      <c r="C23" s="5" t="s">
        <v>71</v>
      </c>
      <c r="D23" s="5" t="s">
        <v>72</v>
      </c>
      <c r="E23" s="31" t="n">
        <v>80</v>
      </c>
      <c r="F23" s="6" t="n">
        <v>20</v>
      </c>
      <c r="G23" s="5" t="s">
        <v>17</v>
      </c>
      <c r="H23" s="5" t="s">
        <v>246</v>
      </c>
    </row>
    <row r="24" customFormat="false" ht="15" hidden="false" customHeight="true" outlineLevel="0" collapsed="false">
      <c r="A24" s="3" t="s">
        <v>206</v>
      </c>
      <c r="B24" s="3" t="s">
        <v>247</v>
      </c>
      <c r="C24" s="3" t="s">
        <v>74</v>
      </c>
      <c r="D24" s="3" t="s">
        <v>75</v>
      </c>
      <c r="E24" s="29" t="n">
        <v>150</v>
      </c>
      <c r="F24" s="4" t="n">
        <v>30</v>
      </c>
      <c r="G24" s="30" t="s">
        <v>9</v>
      </c>
      <c r="H24" s="3" t="s">
        <v>248</v>
      </c>
    </row>
    <row r="25" customFormat="false" ht="15" hidden="false" customHeight="true" outlineLevel="0" collapsed="false">
      <c r="A25" s="5" t="s">
        <v>249</v>
      </c>
      <c r="B25" s="5" t="s">
        <v>225</v>
      </c>
      <c r="C25" s="5" t="s">
        <v>77</v>
      </c>
      <c r="D25" s="5" t="s">
        <v>78</v>
      </c>
      <c r="E25" s="31" t="n">
        <v>800</v>
      </c>
      <c r="F25" s="6" t="n">
        <v>45</v>
      </c>
      <c r="G25" s="30" t="s">
        <v>9</v>
      </c>
      <c r="H25" s="5" t="s">
        <v>250</v>
      </c>
    </row>
    <row r="26" customFormat="false" ht="15" hidden="false" customHeight="true" outlineLevel="0" collapsed="false">
      <c r="A26" s="3" t="s">
        <v>251</v>
      </c>
      <c r="B26" s="3" t="s">
        <v>225</v>
      </c>
      <c r="C26" s="3" t="s">
        <v>62</v>
      </c>
      <c r="D26" s="3" t="s">
        <v>80</v>
      </c>
      <c r="E26" s="29" t="n">
        <v>74</v>
      </c>
      <c r="F26" s="4" t="n">
        <v>25</v>
      </c>
      <c r="G26" s="3" t="s">
        <v>13</v>
      </c>
      <c r="H26" s="3" t="s">
        <v>252</v>
      </c>
    </row>
    <row r="27" customFormat="false" ht="15" hidden="false" customHeight="true" outlineLevel="0" collapsed="false">
      <c r="A27" s="5" t="s">
        <v>253</v>
      </c>
      <c r="B27" s="5" t="s">
        <v>225</v>
      </c>
      <c r="C27" s="5" t="s">
        <v>32</v>
      </c>
      <c r="D27" s="5" t="s">
        <v>82</v>
      </c>
      <c r="E27" s="31" t="n">
        <v>400</v>
      </c>
      <c r="F27" s="6" t="n">
        <v>40</v>
      </c>
      <c r="G27" s="5" t="s">
        <v>17</v>
      </c>
      <c r="H27" s="5" t="s">
        <v>254</v>
      </c>
    </row>
    <row r="28" customFormat="false" ht="15" hidden="false" customHeight="true" outlineLevel="0" collapsed="false">
      <c r="A28" s="3" t="s">
        <v>255</v>
      </c>
      <c r="B28" s="3" t="s">
        <v>225</v>
      </c>
      <c r="C28" s="3" t="s">
        <v>84</v>
      </c>
      <c r="D28" s="3" t="s">
        <v>85</v>
      </c>
      <c r="E28" s="29" t="n">
        <v>60</v>
      </c>
      <c r="F28" s="4" t="n">
        <v>30</v>
      </c>
      <c r="G28" s="3" t="s">
        <v>13</v>
      </c>
      <c r="H28" s="3" t="s">
        <v>256</v>
      </c>
    </row>
    <row r="29" customFormat="false" ht="15" hidden="false" customHeight="true" outlineLevel="0" collapsed="false">
      <c r="A29" s="5" t="s">
        <v>257</v>
      </c>
      <c r="B29" s="5" t="s">
        <v>225</v>
      </c>
      <c r="C29" s="5" t="s">
        <v>87</v>
      </c>
      <c r="D29" s="5" t="s">
        <v>88</v>
      </c>
      <c r="E29" s="31" t="n">
        <v>40</v>
      </c>
      <c r="F29" s="6" t="n">
        <v>10</v>
      </c>
      <c r="G29" s="5" t="s">
        <v>17</v>
      </c>
      <c r="H29" s="5" t="s">
        <v>258</v>
      </c>
    </row>
    <row r="30" customFormat="false" ht="15" hidden="false" customHeight="true" outlineLevel="0" collapsed="false">
      <c r="A30" s="3" t="s">
        <v>259</v>
      </c>
      <c r="B30" s="3" t="s">
        <v>225</v>
      </c>
      <c r="C30" s="3" t="s">
        <v>74</v>
      </c>
      <c r="D30" s="3" t="s">
        <v>90</v>
      </c>
      <c r="E30" s="29" t="n">
        <v>130</v>
      </c>
      <c r="F30" s="4" t="n">
        <v>5</v>
      </c>
      <c r="G30" s="30" t="s">
        <v>9</v>
      </c>
      <c r="H30" s="3" t="s">
        <v>260</v>
      </c>
    </row>
    <row r="31" customFormat="false" ht="15" hidden="false" customHeight="true" outlineLevel="0" collapsed="false">
      <c r="A31" s="5" t="s">
        <v>261</v>
      </c>
      <c r="B31" s="5" t="s">
        <v>225</v>
      </c>
      <c r="C31" s="5" t="s">
        <v>92</v>
      </c>
      <c r="D31" s="5" t="s">
        <v>93</v>
      </c>
      <c r="E31" s="31" t="n">
        <v>50</v>
      </c>
      <c r="F31" s="6" t="n">
        <v>50</v>
      </c>
      <c r="G31" s="5" t="s">
        <v>13</v>
      </c>
      <c r="H31" s="5" t="s">
        <v>262</v>
      </c>
    </row>
    <row r="32" customFormat="false" ht="15" hidden="false" customHeight="true" outlineLevel="0" collapsed="false">
      <c r="A32" s="3" t="s">
        <v>263</v>
      </c>
      <c r="B32" s="3" t="s">
        <v>264</v>
      </c>
      <c r="C32" s="3" t="s">
        <v>95</v>
      </c>
      <c r="D32" s="3" t="s">
        <v>96</v>
      </c>
      <c r="E32" s="29" t="n">
        <v>100</v>
      </c>
      <c r="F32" s="4" t="n">
        <v>20</v>
      </c>
      <c r="G32" s="3" t="s">
        <v>56</v>
      </c>
      <c r="H32" s="3" t="s">
        <v>265</v>
      </c>
    </row>
  </sheetData>
  <conditionalFormatting sqref="E2:E32">
    <cfRule type="dataBar" priority="2">
      <dataBar showValue="1" minLength="10" maxLength="90">
        <cfvo type="min" val="0"/>
        <cfvo type="max" val="0"/>
        <color rgb="FF4472C4"/>
      </dataBar>
      <extLst>
        <ext xmlns:x14="http://schemas.microsoft.com/office/spreadsheetml/2009/9/main" uri="{B025F937-C7B1-47D3-B67F-A62EFF666E3E}">
          <x14:id>{B05C6EB7-69E6-47DD-BF9D-E84D553DB772}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5C6EB7-69E6-47DD-BF9D-E84D553DB772}">
            <x14:dataBar minLength="10" maxLength="90" axisPosition="none" gradient="true">
              <x14:cfvo type="min"/>
              <x14:cfvo type="max"/>
              <x14:negativeFillColor rgb="FF4472C4"/>
              <x14:axisColor rgb="FF000000"/>
            </x14:dataBar>
          </x14:cfRule>
          <xm:sqref>E2:E32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2026-05-31T06:05:02Z</dcterms:created>
  <dc:creator>openpyxl</dc:creator>
  <dc:description/>
  <dc:language>en-US</dc:language>
  <cp:lastModifiedBy/>
  <dcterms:modified xsi:type="dcterms:W3CDTF">2026-05-31T06:15:57Z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